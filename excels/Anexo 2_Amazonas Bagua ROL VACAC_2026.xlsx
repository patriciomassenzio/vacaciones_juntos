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B" sheetId="1" r:id="rId5"/>
  </sheets>
  <definedNames>
    <definedName hidden="1" localSheetId="0" name="_xlnm._FilterDatabase">UTAB!$A$6:$L$93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tc={be683587-42f7-4670-995e-3f042d40e0b4}</author>
  </authors>
  <commentList>
    <comment authorId="0" xr:uid="{be683587-42f7-4670-995e-3f042d40e0b4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17/11/2026
Reply:
	Marcado como resuelto
</t>
      </text>
    </comment>
  </commentList>
</comments>
</file>

<file path=xl/sharedStrings.xml><?xml version="1.0" encoding="utf-8"?>
<sst xmlns="http://schemas.openxmlformats.org/spreadsheetml/2006/main" count="474" uniqueCount="126">
  <si>
    <t>ROL DE VACACIONES DE LOS SERVIDORES DEL PROGRAMA JUNTOS PARA EL AÑO 2026</t>
  </si>
  <si>
    <t>ANEXO N° 02 - UNIDAD TERRITORIAL AMAZONAS BAGUA</t>
  </si>
  <si>
    <t xml:space="preserve">Nota: 
1.- Toda programación  completa o fraccionada que culmine en día viernes deberá computar el sábado y domingo continuo (no puede culminar en día viernes o sábado).
2.- No se considerarán programaciones de días hábiles, debido a que estan sujetos a la suscripción previa del acuerdo entre empleado y empleador. </t>
  </si>
  <si>
    <t>N°</t>
  </si>
  <si>
    <t>UNIDAD TERRITORIAL</t>
  </si>
  <si>
    <t>DNI</t>
  </si>
  <si>
    <t>APELLIDOS Y NOMBRES</t>
  </si>
  <si>
    <t>FECHA DE INGRESO</t>
  </si>
  <si>
    <t>CARGO</t>
  </si>
  <si>
    <t xml:space="preserve">PERIODO VACACIONAL </t>
  </si>
  <si>
    <t>DESDE</t>
  </si>
  <si>
    <t>HASTA</t>
  </si>
  <si>
    <t>TOTAL DIAS</t>
  </si>
  <si>
    <t>ULTIMO DÍA</t>
  </si>
  <si>
    <t>OBSERVACIÓN</t>
  </si>
  <si>
    <t>UT AMAZONAS BAGUA</t>
  </si>
  <si>
    <t>70080622</t>
  </si>
  <si>
    <t>ACHA GUERRERO DAVID DENISS</t>
  </si>
  <si>
    <t>GESTOR LOCAL</t>
  </si>
  <si>
    <t>2025-2026</t>
  </si>
  <si>
    <t>08570047</t>
  </si>
  <si>
    <t>AGUEDO CARBAJAL HUGO WILLIAM</t>
  </si>
  <si>
    <t>COORDINADOR TÉCNICO ZONAL</t>
  </si>
  <si>
    <t>ADELANTO</t>
  </si>
  <si>
    <t>33781322</t>
  </si>
  <si>
    <t>CACHAY VELA NERY MARLENITA</t>
  </si>
  <si>
    <t>44858245</t>
  </si>
  <si>
    <t>CALDERON SERVAN MILAGRITOS SOLEDAD</t>
  </si>
  <si>
    <t>33827197</t>
  </si>
  <si>
    <t>CARRANZA ALARCON ISAIAS</t>
  </si>
  <si>
    <t>1 REPROGRAMACIÓN</t>
  </si>
  <si>
    <t>18142350</t>
  </si>
  <si>
    <t>CARRASCAL CUEVA SANDRA ANGHELINA</t>
  </si>
  <si>
    <t>COMUNICADOR</t>
  </si>
  <si>
    <t>44620331</t>
  </si>
  <si>
    <t>CHAVEZ TORREJON LENER</t>
  </si>
  <si>
    <t>REVISAR</t>
  </si>
  <si>
    <t>47191455</t>
  </si>
  <si>
    <t>CORDOVA MARTINEZ DIANA CAROLINA</t>
  </si>
  <si>
    <t>GESTOR LOCAL - ZONA ALEJADA</t>
  </si>
  <si>
    <t>46826581</t>
  </si>
  <si>
    <t>CORDOVA ROSALES VICTOR BERTIN</t>
  </si>
  <si>
    <t>46282107</t>
  </si>
  <si>
    <t>CUEVA ALVAREZ RUTH YESSENIA</t>
  </si>
  <si>
    <t>TECNICO DE ORIENTACION Y ATENCION AL USUARIO</t>
  </si>
  <si>
    <t>43209768</t>
  </si>
  <si>
    <t>DAVILA BRAVO LIZ MARICLER</t>
  </si>
  <si>
    <t>43209769</t>
  </si>
  <si>
    <t>43209770</t>
  </si>
  <si>
    <t>45021141</t>
  </si>
  <si>
    <t>DELGADO CASTAÑEDA EDWIN ROY</t>
  </si>
  <si>
    <t>GESTOR DE INFORMACIÓN</t>
  </si>
  <si>
    <t>48273365</t>
  </si>
  <si>
    <t>EPIQUIEN TORREJON NESTOR CLAUMER</t>
  </si>
  <si>
    <t>33761726</t>
  </si>
  <si>
    <t>ESPEJO SECUTA DAVID</t>
  </si>
  <si>
    <t>FALTA PROGRAMAR</t>
  </si>
  <si>
    <t>42966029</t>
  </si>
  <si>
    <t>FERNANDEZ SANCHEZ VICTOR RAUL</t>
  </si>
  <si>
    <t>2 DÍAS DE FRACCIONAMIENTO</t>
  </si>
  <si>
    <t>44684018</t>
  </si>
  <si>
    <t>GOMEZ VELAYSOSA ELFERES</t>
  </si>
  <si>
    <t>60355225</t>
  </si>
  <si>
    <t>GONZALES QUINTANA KELLY MELISSA</t>
  </si>
  <si>
    <t>ASISTENTE ADMINISTRATIVO</t>
  </si>
  <si>
    <t>70087004</t>
  </si>
  <si>
    <t>GUERRERO RIOJAS HARWIN EDUARDO</t>
  </si>
  <si>
    <t>42001203</t>
  </si>
  <si>
    <t>GUEVARA GARCIA YULI ELIZABETH</t>
  </si>
  <si>
    <t>45328152</t>
  </si>
  <si>
    <t>GUEVARA GUEVARA FRANCO NAPOLEON</t>
  </si>
  <si>
    <t>46358139</t>
  </si>
  <si>
    <t>HUAMAN SOROE MILAGROS</t>
  </si>
  <si>
    <t>46091093</t>
  </si>
  <si>
    <t>JIMENEZ RODRIGUEZ OMAR ALEJANDRO</t>
  </si>
  <si>
    <t>72097663</t>
  </si>
  <si>
    <t>LAZO VALQUI ROSITA</t>
  </si>
  <si>
    <t>46402465</t>
  </si>
  <si>
    <t>LEON CAMPOS WILLAN DAVID</t>
  </si>
  <si>
    <t>46402466</t>
  </si>
  <si>
    <t>33586223</t>
  </si>
  <si>
    <t>LOZANO HERNANDEZ MARINA</t>
  </si>
  <si>
    <t>42246417</t>
  </si>
  <si>
    <t>MERA TORRES ALELI</t>
  </si>
  <si>
    <t>48410041</t>
  </si>
  <si>
    <t>MONTEZA ROJAS ITAMAR</t>
  </si>
  <si>
    <t>43457207</t>
  </si>
  <si>
    <t>NAVARRO DIAZ LUIS ALBERTO</t>
  </si>
  <si>
    <t>ADMINISTRADOR</t>
  </si>
  <si>
    <t>40040613</t>
  </si>
  <si>
    <t>PRADO MENDOZA OTONIEL</t>
  </si>
  <si>
    <t>COORDINADOR DE UNIDAD TERRITORIAL - JEFE DE UNIDAD TERRITORIAL AMAZONAS BAGUA</t>
  </si>
  <si>
    <t>45460382</t>
  </si>
  <si>
    <t>RODRIGUEZ COLLANTES MILTON CESAR</t>
  </si>
  <si>
    <t>45961246</t>
  </si>
  <si>
    <t>ROJAS SOPLIN EULER</t>
  </si>
  <si>
    <t>33432747</t>
  </si>
  <si>
    <t>SALAZAR SANTOS ANGEL GUSTAVO</t>
  </si>
  <si>
    <t>CHOFER PARA  SEDE REGIONAL</t>
  </si>
  <si>
    <t>FRACCIONAMIENTO</t>
  </si>
  <si>
    <t>26620699</t>
  </si>
  <si>
    <t>SANCHEZ SANCHEZ JOSE LUIS</t>
  </si>
  <si>
    <t>77531759</t>
  </si>
  <si>
    <t>SANTOS SOLANO ROXANA</t>
  </si>
  <si>
    <t>46866589</t>
  </si>
  <si>
    <t>SERRANO MESIA NICK BRIAN</t>
  </si>
  <si>
    <t>70040771</t>
  </si>
  <si>
    <t>TELLO GONZALES ERICK</t>
  </si>
  <si>
    <t>72498313</t>
  </si>
  <si>
    <t>TERRONES CHAVEZ JORGE ISAIAS</t>
  </si>
  <si>
    <t>16461337</t>
  </si>
  <si>
    <t>TUESTA SERVAN HAYCELA MIRIAM</t>
  </si>
  <si>
    <t>44613215</t>
  </si>
  <si>
    <t>VALENCIA ALCANTARA FRANKLIN EDGAR</t>
  </si>
  <si>
    <t>APOYO EN GESTIÓN ADMINISTRATIVA</t>
  </si>
  <si>
    <t>VASQUEZ PAISIG EDWIN RAMIRO</t>
  </si>
  <si>
    <t>41650274</t>
  </si>
  <si>
    <t>VILLALOBOS BELLODAS CARLOS EDISON</t>
  </si>
  <si>
    <t>COORDINADOR TÉCNICO TERRITORIAL</t>
  </si>
  <si>
    <t>42014736</t>
  </si>
  <si>
    <t>ZAMORA LOJA JUAN ALBERTO</t>
  </si>
  <si>
    <t>46721282</t>
  </si>
  <si>
    <t>ZAPATA DIAZ MANUEL FRANCISCO</t>
  </si>
  <si>
    <t>46721283</t>
  </si>
  <si>
    <t>41366303</t>
  </si>
  <si>
    <t>ZELADA TORRES RIVELINO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</si>
</sst>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13">
    <font>
      <sz val="11.0"/>
      <color theme="1"/>
      <name val="Calibri"/>
      <scheme val="minor"/>
    </font>
    <font>
      <sz val="11.0"/>
      <color theme="1"/>
      <name val="Arial Narrow"/>
    </font>
    <font>
      <b/>
      <i/>
      <u/>
      <sz val="12.0"/>
      <color rgb="FFA5A5A5"/>
      <name val="Arial Narrow"/>
    </font>
    <font>
      <b/>
      <sz val="18.0"/>
      <color theme="1"/>
      <name val="Arial Narrow"/>
    </font>
    <font>
      <b/>
      <sz val="10.0"/>
      <color rgb="FFFF0000"/>
      <name val="Arial Narrow"/>
    </font>
    <font>
      <b/>
      <sz val="11.0"/>
      <color theme="1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FF0000"/>
      <name val="Arial Narrow"/>
    </font>
    <font>
      <sz val="7.0"/>
      <color rgb="FFFF0000"/>
      <name val="Arial Narrow"/>
    </font>
    <font>
      <sz val="10.0"/>
      <color rgb="FFFF0000"/>
      <name val="Arial Narrow"/>
    </font>
    <font>
      <b/>
      <sz val="12.0"/>
      <color rgb="FFFF0000"/>
      <name val="Arial Narrow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shrinkToFit="0" vertical="center" wrapText="0"/>
    </xf>
    <xf borderId="1" fillId="0" fontId="6" numFmtId="49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164" xfId="0" applyAlignment="1" applyBorder="1" applyFont="1" applyNumberFormat="1">
      <alignment shrinkToFit="0" vertical="center" wrapText="0"/>
    </xf>
    <xf borderId="1" fillId="0" fontId="6" numFmtId="164" xfId="0" applyAlignment="1" applyBorder="1" applyFont="1" applyNumberFormat="1">
      <alignment horizontal="center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2" fontId="6" numFmtId="0" xfId="0" applyAlignment="1" applyBorder="1" applyFill="1" applyFont="1">
      <alignment horizontal="center" shrinkToFit="0" vertical="center" wrapText="0"/>
    </xf>
    <xf borderId="2" fillId="2" fontId="6" numFmtId="0" xfId="0" applyAlignment="1" applyBorder="1" applyFont="1">
      <alignment shrinkToFit="0" vertical="center" wrapText="0"/>
    </xf>
    <xf borderId="1" fillId="2" fontId="6" numFmtId="49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horizontal="left" shrinkToFit="0" vertical="center" wrapText="0"/>
    </xf>
    <xf borderId="1" fillId="2" fontId="6" numFmtId="164" xfId="0" applyAlignment="1" applyBorder="1" applyFont="1" applyNumberFormat="1">
      <alignment shrinkToFit="0" vertical="center" wrapText="0"/>
    </xf>
    <xf borderId="1" fillId="2" fontId="6" numFmtId="164" xfId="0" applyAlignment="1" applyBorder="1" applyFont="1" applyNumberFormat="1">
      <alignment horizontal="center" shrinkToFit="0" vertical="center" wrapText="0"/>
    </xf>
    <xf borderId="1" fillId="2" fontId="7" numFmtId="164" xfId="0" applyAlignment="1" applyBorder="1" applyFont="1" applyNumberFormat="1">
      <alignment horizontal="center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ont="1">
      <alignment shrinkToFit="0" vertical="center" wrapText="0"/>
    </xf>
    <xf borderId="1" fillId="3" fontId="6" numFmtId="49" xfId="0" applyAlignment="1" applyBorder="1" applyFont="1" applyNumberFormat="1">
      <alignment horizontal="center" shrinkToFit="0" vertical="center" wrapText="0"/>
    </xf>
    <xf borderId="1" fillId="3" fontId="6" numFmtId="0" xfId="0" applyAlignment="1" applyBorder="1" applyFont="1">
      <alignment horizontal="left" shrinkToFit="0" vertical="center" wrapText="0"/>
    </xf>
    <xf borderId="1" fillId="3" fontId="6" numFmtId="164" xfId="0" applyAlignment="1" applyBorder="1" applyFont="1" applyNumberFormat="1">
      <alignment shrinkToFit="0" vertical="center" wrapText="0"/>
    </xf>
    <xf borderId="1" fillId="3" fontId="6" numFmtId="164" xfId="0" applyAlignment="1" applyBorder="1" applyFont="1" applyNumberFormat="1">
      <alignment horizontal="center" shrinkToFit="0" vertical="center" wrapText="0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2" fillId="4" fontId="6" numFmtId="0" xfId="0" applyAlignment="1" applyBorder="1" applyFont="1">
      <alignment shrinkToFit="0" vertical="center" wrapText="0"/>
    </xf>
    <xf borderId="1" fillId="4" fontId="6" numFmtId="49" xfId="0" applyAlignment="1" applyBorder="1" applyFont="1" applyNumberFormat="1">
      <alignment horizontal="center" shrinkToFit="0" vertical="center" wrapText="0"/>
    </xf>
    <xf borderId="1" fillId="4" fontId="6" numFmtId="0" xfId="0" applyAlignment="1" applyBorder="1" applyFont="1">
      <alignment horizontal="left" shrinkToFit="0" vertical="center" wrapText="0"/>
    </xf>
    <xf borderId="1" fillId="4" fontId="6" numFmtId="164" xfId="0" applyAlignment="1" applyBorder="1" applyFont="1" applyNumberFormat="1">
      <alignment shrinkToFit="0" vertical="center" wrapText="0"/>
    </xf>
    <xf borderId="1" fillId="4" fontId="6" numFmtId="164" xfId="0" applyAlignment="1" applyBorder="1" applyFont="1" applyNumberFormat="1">
      <alignment horizontal="center" shrinkToFit="0" vertical="center" wrapText="0"/>
    </xf>
    <xf borderId="1" fillId="4" fontId="7" numFmtId="164" xfId="0" applyAlignment="1" applyBorder="1" applyFont="1" applyNumberFormat="1">
      <alignment horizontal="center" readingOrder="0"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3" fontId="9" numFmtId="0" xfId="0" applyAlignment="1" applyBorder="1" applyFont="1">
      <alignment horizontal="center" readingOrder="0" shrinkToFit="0" vertical="center" wrapText="0"/>
    </xf>
    <xf borderId="1" fillId="3" fontId="7" numFmtId="164" xfId="0" applyAlignment="1" applyBorder="1" applyFont="1" applyNumberFormat="1">
      <alignment horizontal="center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2" fillId="5" fontId="6" numFmtId="0" xfId="0" applyAlignment="1" applyBorder="1" applyFont="1">
      <alignment shrinkToFit="0" vertical="center" wrapText="0"/>
    </xf>
    <xf borderId="1" fillId="5" fontId="6" numFmtId="49" xfId="0" applyAlignment="1" applyBorder="1" applyFont="1" applyNumberFormat="1">
      <alignment horizontal="center" shrinkToFit="0" vertical="center" wrapText="0"/>
    </xf>
    <xf borderId="1" fillId="5" fontId="6" numFmtId="0" xfId="0" applyAlignment="1" applyBorder="1" applyFont="1">
      <alignment horizontal="left" shrinkToFit="0" vertical="center" wrapText="0"/>
    </xf>
    <xf borderId="1" fillId="5" fontId="6" numFmtId="164" xfId="0" applyAlignment="1" applyBorder="1" applyFont="1" applyNumberFormat="1">
      <alignment shrinkToFit="0" vertical="center" wrapText="0"/>
    </xf>
    <xf borderId="1" fillId="5" fontId="6" numFmtId="164" xfId="0" applyAlignment="1" applyBorder="1" applyFont="1" applyNumberFormat="1">
      <alignment horizontal="center" shrinkToFit="0" vertical="center" wrapText="0"/>
    </xf>
    <xf borderId="1" fillId="5" fontId="7" numFmtId="165" xfId="0" applyAlignment="1" applyBorder="1" applyFont="1" applyNumberFormat="1">
      <alignment horizontal="center" readingOrder="0" shrinkToFit="0" vertical="center" wrapText="0"/>
    </xf>
    <xf borderId="1" fillId="5" fontId="7" numFmtId="164" xfId="0" applyAlignment="1" applyBorder="1" applyFont="1" applyNumberFormat="1">
      <alignment horizontal="center" readingOrder="0" shrinkToFit="0" vertical="center" wrapText="0"/>
    </xf>
    <xf borderId="1" fillId="5" fontId="8" numFmtId="0" xfId="0" applyAlignment="1" applyBorder="1" applyFont="1">
      <alignment horizontal="center" shrinkToFit="0" vertical="center" wrapText="0"/>
    </xf>
    <xf borderId="1" fillId="5" fontId="9" numFmtId="0" xfId="0" applyAlignment="1" applyBorder="1" applyFont="1">
      <alignment horizontal="center" readingOrder="0" shrinkToFit="0" vertical="center" wrapText="0"/>
    </xf>
    <xf borderId="1" fillId="2" fontId="7" numFmtId="165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2" fillId="6" fontId="6" numFmtId="0" xfId="0" applyAlignment="1" applyBorder="1" applyFont="1">
      <alignment shrinkToFit="0" vertical="center" wrapText="0"/>
    </xf>
    <xf borderId="1" fillId="6" fontId="6" numFmtId="49" xfId="0" applyAlignment="1" applyBorder="1" applyFont="1" applyNumberFormat="1">
      <alignment horizontal="center" shrinkToFit="0" vertical="center" wrapText="0"/>
    </xf>
    <xf borderId="1" fillId="6" fontId="6" numFmtId="0" xfId="0" applyAlignment="1" applyBorder="1" applyFont="1">
      <alignment horizontal="left" shrinkToFit="0" vertical="center" wrapText="0"/>
    </xf>
    <xf borderId="1" fillId="6" fontId="6" numFmtId="164" xfId="0" applyAlignment="1" applyBorder="1" applyFont="1" applyNumberFormat="1">
      <alignment shrinkToFit="0" vertical="center" wrapText="0"/>
    </xf>
    <xf borderId="1" fillId="6" fontId="6" numFmtId="164" xfId="0" applyAlignment="1" applyBorder="1" applyFont="1" applyNumberFormat="1">
      <alignment horizontal="center" shrinkToFit="0" vertical="center" wrapText="0"/>
    </xf>
    <xf borderId="1" fillId="6" fontId="7" numFmtId="164" xfId="0" applyAlignment="1" applyBorder="1" applyFont="1" applyNumberFormat="1">
      <alignment horizontal="center" readingOrder="0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6" fontId="9" numFmtId="0" xfId="0" applyAlignment="1" applyBorder="1" applyFont="1">
      <alignment horizontal="center" readingOrder="0" shrinkToFit="0" vertical="center" wrapText="0"/>
    </xf>
    <xf borderId="1" fillId="0" fontId="7" numFmtId="166" xfId="0" applyAlignment="1" applyBorder="1" applyFont="1" applyNumberFormat="1">
      <alignment horizontal="center" readingOrder="0" shrinkToFit="0" vertical="center" wrapText="0"/>
    </xf>
    <xf borderId="1" fillId="7" fontId="8" numFmtId="0" xfId="0" applyAlignment="1" applyBorder="1" applyFill="1" applyFont="1">
      <alignment horizontal="center" shrinkToFit="0" vertical="center" wrapText="0"/>
    </xf>
    <xf borderId="1" fillId="7" fontId="12" numFmtId="0" xfId="0" applyAlignment="1" applyBorder="1" applyFont="1">
      <alignment shrinkToFit="0" vertical="center" wrapText="0"/>
    </xf>
    <xf borderId="1" fillId="3" fontId="7" numFmtId="165" xfId="0" applyAlignment="1" applyBorder="1" applyFont="1" applyNumberFormat="1">
      <alignment horizontal="center" readingOrder="0" shrinkToFit="0" vertical="center" wrapText="0"/>
    </xf>
    <xf borderId="1" fillId="3" fontId="6" numFmtId="164" xfId="0" applyAlignment="1" applyBorder="1" applyFont="1" applyNumberFormat="1">
      <alignment readingOrder="0" shrinkToFit="0" vertical="center" wrapText="0"/>
    </xf>
    <xf borderId="1" fillId="3" fontId="6" numFmtId="164" xfId="0" applyAlignment="1" applyBorder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1" fillId="0" fontId="6" numFmtId="4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164" xfId="0" applyAlignment="1" applyBorder="1" applyFont="1" applyNumberFormat="1">
      <alignment readingOrder="0" shrinkToFit="0" vertical="center" wrapText="0"/>
    </xf>
    <xf borderId="2" fillId="3" fontId="6" numFmtId="0" xfId="0" applyAlignment="1" applyBorder="1" applyFont="1">
      <alignment readingOrder="0" shrinkToFit="0" vertical="center" wrapText="0"/>
    </xf>
    <xf borderId="1" fillId="3" fontId="6" numFmtId="49" xfId="0" applyAlignment="1" applyBorder="1" applyFont="1" applyNumberFormat="1">
      <alignment horizontal="center" readingOrder="0" shrinkToFit="0" vertical="center" wrapText="0"/>
    </xf>
    <xf borderId="1" fillId="3" fontId="6" numFmtId="0" xfId="0" applyAlignment="1" applyBorder="1" applyFont="1">
      <alignment horizontal="left" readingOrder="0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shrinkToFit="0" vertical="center" wrapText="0"/>
    </xf>
    <xf borderId="2" fillId="8" fontId="6" numFmtId="0" xfId="0" applyAlignment="1" applyBorder="1" applyFont="1">
      <alignment shrinkToFit="0" vertical="center" wrapText="0"/>
    </xf>
    <xf borderId="1" fillId="8" fontId="6" numFmtId="49" xfId="0" applyAlignment="1" applyBorder="1" applyFont="1" applyNumberFormat="1">
      <alignment horizontal="center" shrinkToFit="0" vertical="center" wrapText="0"/>
    </xf>
    <xf borderId="1" fillId="8" fontId="6" numFmtId="0" xfId="0" applyAlignment="1" applyBorder="1" applyFont="1">
      <alignment horizontal="left" shrinkToFit="0" vertical="center" wrapText="0"/>
    </xf>
    <xf borderId="1" fillId="8" fontId="6" numFmtId="164" xfId="0" applyAlignment="1" applyBorder="1" applyFont="1" applyNumberFormat="1">
      <alignment shrinkToFit="0" vertical="center" wrapText="0"/>
    </xf>
    <xf borderId="1" fillId="8" fontId="6" numFmtId="164" xfId="0" applyAlignment="1" applyBorder="1" applyFont="1" applyNumberFormat="1">
      <alignment horizontal="center" shrinkToFit="0" vertical="center" wrapText="0"/>
    </xf>
    <xf borderId="1" fillId="8" fontId="7" numFmtId="164" xfId="0" applyAlignment="1" applyBorder="1" applyFont="1" applyNumberFormat="1">
      <alignment horizontal="center" readingOrder="0" shrinkToFit="0" vertical="center" wrapText="0"/>
    </xf>
    <xf borderId="1" fillId="8" fontId="8" numFmtId="0" xfId="0" applyAlignment="1" applyBorder="1" applyFont="1">
      <alignment horizontal="center" shrinkToFit="0" vertical="center" wrapText="0"/>
    </xf>
    <xf borderId="1" fillId="8" fontId="9" numFmtId="0" xfId="0" applyAlignment="1" applyBorder="1" applyFont="1">
      <alignment horizontal="center" readingOrder="0" shrinkToFit="0" vertical="center" wrapText="0"/>
    </xf>
    <xf borderId="1" fillId="8" fontId="9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i/>
      </font>
      <fill>
        <patternFill patternType="solid">
          <fgColor rgb="FFFFFF00"/>
          <bgColor rgb="FFFFFF00"/>
        </patternFill>
      </fill>
      <border/>
    </dxf>
  </dxfs>
  <tableStyles count="1">
    <tableStyle count="4" pivot="0" name="UTA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47625</xdr:rowOff>
    </xdr:from>
    <xdr:ext cx="27336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lely Mera" id="{3a3b33f6-2929-439d-a949-4b409f528527}" providerId="google-sheets"/>
</x18tc:personList>
</file>

<file path=xl/tables/table1.xml><?xml version="1.0" encoding="utf-8"?>
<table xmlns="http://schemas.openxmlformats.org/spreadsheetml/2006/main" ref="A6:L93" displayName="Tabla_1" name="Tabla_1" id="1">
  <autoFilter ref="$A$6:$L$93"/>
  <tableColumns count="12">
    <tableColumn name="N°" id="1"/>
    <tableColumn name="UNIDAD TERRITORIAL" id="2"/>
    <tableColumn name="DNI" id="3"/>
    <tableColumn name="APELLIDOS Y NOMBRES" id="4"/>
    <tableColumn name="FECHA DE INGRESO" id="5"/>
    <tableColumn name="CARGO" id="6"/>
    <tableColumn name="PERIODO VACACIONAL " id="7"/>
    <tableColumn name="DESDE" id="8"/>
    <tableColumn name="HASTA" id="9"/>
    <tableColumn name="TOTAL DIAS" id="10"/>
    <tableColumn name="ULTIMO DÍA" id="11"/>
    <tableColumn name="OBSERVACIÓN" id="12"/>
  </tableColumns>
  <tableStyleInfo name="UTA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8" dT="2025-10-29T16:03:24.00" personId="{3a3b33f6-2929-439d-a949-4b409f528527}" id="{be683587-42f7-4670-995e-3f042d40e0b4}" done="1">
    <x18tc:text xml:space="preserve">17/11/2026</x18tc:text>
  </x18tc:threadedComment>
  <x18tc:threadedComment ref="H58" dT="2025-10-29T16:03:31.00" personId="{3a3b33f6-2929-439d-a949-4b409f528527}" id="{9d37d04f-cb8a-4fad-83c3-f67014b87c3e}" parentId="{be683587-42f7-4670-995e-3f042d40e0b4}">
    <x18tc:text xml:space="preserve">Marcado como resuelto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1.29"/>
    <col customWidth="1" min="3" max="3" width="9.57"/>
    <col customWidth="1" min="4" max="4" width="42.71"/>
    <col customWidth="1" min="5" max="5" width="14.71"/>
    <col customWidth="1" min="6" max="6" width="43.0"/>
    <col customWidth="1" min="7" max="7" width="14.43"/>
    <col customWidth="1" min="8" max="11" width="11.43"/>
    <col customWidth="1" min="12" max="12" width="19.57"/>
  </cols>
  <sheetData>
    <row r="1" ht="16.5" customHeight="1">
      <c r="A1" s="1"/>
      <c r="B1" s="2" t="s">
        <v>0</v>
      </c>
      <c r="J1" s="1"/>
      <c r="K1" s="1"/>
      <c r="L1" s="1"/>
    </row>
    <row r="2" ht="48.75" customHeight="1">
      <c r="A2" s="3" t="s">
        <v>1</v>
      </c>
      <c r="L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40.5" customHeight="1">
      <c r="A4" s="4" t="s">
        <v>2</v>
      </c>
      <c r="L4" s="4"/>
    </row>
    <row r="5" ht="6.75" customHeight="1">
      <c r="A5" s="5"/>
      <c r="B5" s="5"/>
      <c r="C5" s="6"/>
      <c r="D5" s="5"/>
      <c r="E5" s="5"/>
      <c r="F5" s="5"/>
      <c r="G5" s="5"/>
      <c r="H5" s="7"/>
      <c r="I5" s="7"/>
      <c r="J5" s="7"/>
      <c r="K5" s="7"/>
      <c r="L5" s="7"/>
    </row>
    <row r="6" ht="16.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</row>
    <row r="7" ht="19.5" customHeight="1">
      <c r="A7" s="9">
        <v>1.0</v>
      </c>
      <c r="B7" s="10" t="s">
        <v>15</v>
      </c>
      <c r="C7" s="11" t="s">
        <v>16</v>
      </c>
      <c r="D7" s="12" t="s">
        <v>17</v>
      </c>
      <c r="E7" s="13">
        <v>42522.0</v>
      </c>
      <c r="F7" s="10" t="s">
        <v>18</v>
      </c>
      <c r="G7" s="14" t="s">
        <v>19</v>
      </c>
      <c r="H7" s="15">
        <v>46357.0</v>
      </c>
      <c r="I7" s="15">
        <v>46386.0</v>
      </c>
      <c r="J7" s="9">
        <f t="shared" ref="J7:J93" si="1">+I7-H7+1</f>
        <v>30</v>
      </c>
      <c r="K7" s="16" t="str">
        <f t="shared" ref="K7:K93" si="2">TEXT(I7,"dddd")</f>
        <v>miércoles</v>
      </c>
      <c r="L7" s="17"/>
    </row>
    <row r="8" ht="19.5" customHeight="1">
      <c r="A8" s="18">
        <v>2.0</v>
      </c>
      <c r="B8" s="19" t="s">
        <v>15</v>
      </c>
      <c r="C8" s="20" t="s">
        <v>20</v>
      </c>
      <c r="D8" s="21" t="s">
        <v>21</v>
      </c>
      <c r="E8" s="22">
        <v>42255.0</v>
      </c>
      <c r="F8" s="19" t="s">
        <v>22</v>
      </c>
      <c r="G8" s="23" t="s">
        <v>19</v>
      </c>
      <c r="H8" s="24">
        <v>46044.0</v>
      </c>
      <c r="I8" s="24">
        <v>46048.0</v>
      </c>
      <c r="J8" s="18">
        <f t="shared" si="1"/>
        <v>5</v>
      </c>
      <c r="K8" s="25" t="str">
        <f t="shared" si="2"/>
        <v>lunes</v>
      </c>
      <c r="L8" s="26" t="s">
        <v>23</v>
      </c>
    </row>
    <row r="9" ht="19.5" customHeight="1">
      <c r="A9" s="18">
        <v>2.0</v>
      </c>
      <c r="B9" s="19" t="s">
        <v>15</v>
      </c>
      <c r="C9" s="20" t="s">
        <v>20</v>
      </c>
      <c r="D9" s="21" t="s">
        <v>21</v>
      </c>
      <c r="E9" s="22">
        <v>42255.0</v>
      </c>
      <c r="F9" s="19" t="s">
        <v>22</v>
      </c>
      <c r="G9" s="23" t="s">
        <v>19</v>
      </c>
      <c r="H9" s="24">
        <v>46306.0</v>
      </c>
      <c r="I9" s="24">
        <v>46330.0</v>
      </c>
      <c r="J9" s="18">
        <f t="shared" si="1"/>
        <v>25</v>
      </c>
      <c r="K9" s="25" t="str">
        <f t="shared" si="2"/>
        <v>miércoles</v>
      </c>
      <c r="L9" s="27"/>
    </row>
    <row r="10" ht="19.5" customHeight="1">
      <c r="A10" s="9">
        <v>3.0</v>
      </c>
      <c r="B10" s="10" t="s">
        <v>15</v>
      </c>
      <c r="C10" s="11" t="s">
        <v>24</v>
      </c>
      <c r="D10" s="12" t="s">
        <v>25</v>
      </c>
      <c r="E10" s="13">
        <v>41229.0</v>
      </c>
      <c r="F10" s="10" t="s">
        <v>18</v>
      </c>
      <c r="G10" s="14" t="s">
        <v>19</v>
      </c>
      <c r="H10" s="15">
        <v>46378.0</v>
      </c>
      <c r="I10" s="15">
        <v>46407.0</v>
      </c>
      <c r="J10" s="9">
        <f t="shared" si="1"/>
        <v>30</v>
      </c>
      <c r="K10" s="16" t="str">
        <f t="shared" si="2"/>
        <v>miércoles</v>
      </c>
      <c r="L10" s="17"/>
    </row>
    <row r="11" ht="19.5" customHeight="1">
      <c r="A11" s="28">
        <v>4.0</v>
      </c>
      <c r="B11" s="29" t="s">
        <v>15</v>
      </c>
      <c r="C11" s="30" t="s">
        <v>26</v>
      </c>
      <c r="D11" s="31" t="s">
        <v>27</v>
      </c>
      <c r="E11" s="32">
        <v>43313.0</v>
      </c>
      <c r="F11" s="29" t="s">
        <v>18</v>
      </c>
      <c r="G11" s="33" t="s">
        <v>19</v>
      </c>
      <c r="H11" s="34">
        <v>46237.0</v>
      </c>
      <c r="I11" s="34">
        <v>46247.0</v>
      </c>
      <c r="J11" s="28">
        <f t="shared" si="1"/>
        <v>11</v>
      </c>
      <c r="K11" s="35" t="str">
        <f t="shared" si="2"/>
        <v>jueves</v>
      </c>
      <c r="L11" s="36"/>
    </row>
    <row r="12" ht="19.5" customHeight="1">
      <c r="A12" s="28">
        <v>4.0</v>
      </c>
      <c r="B12" s="29" t="s">
        <v>15</v>
      </c>
      <c r="C12" s="30" t="s">
        <v>26</v>
      </c>
      <c r="D12" s="31" t="s">
        <v>27</v>
      </c>
      <c r="E12" s="32">
        <v>43313.0</v>
      </c>
      <c r="F12" s="29" t="s">
        <v>18</v>
      </c>
      <c r="G12" s="33" t="s">
        <v>19</v>
      </c>
      <c r="H12" s="34">
        <v>46382.0</v>
      </c>
      <c r="I12" s="34">
        <v>46400.0</v>
      </c>
      <c r="J12" s="28">
        <f t="shared" si="1"/>
        <v>19</v>
      </c>
      <c r="K12" s="35" t="str">
        <f t="shared" si="2"/>
        <v>miércoles</v>
      </c>
      <c r="L12" s="36"/>
    </row>
    <row r="13" ht="19.5" customHeight="1">
      <c r="A13" s="18">
        <v>5.0</v>
      </c>
      <c r="B13" s="19" t="s">
        <v>15</v>
      </c>
      <c r="C13" s="20" t="s">
        <v>28</v>
      </c>
      <c r="D13" s="21" t="s">
        <v>29</v>
      </c>
      <c r="E13" s="22">
        <v>41944.0</v>
      </c>
      <c r="F13" s="19" t="s">
        <v>18</v>
      </c>
      <c r="G13" s="23" t="s">
        <v>19</v>
      </c>
      <c r="H13" s="24">
        <v>46013.0</v>
      </c>
      <c r="I13" s="24">
        <v>46042.0</v>
      </c>
      <c r="J13" s="18">
        <f t="shared" si="1"/>
        <v>30</v>
      </c>
      <c r="K13" s="25" t="str">
        <f t="shared" si="2"/>
        <v>martes</v>
      </c>
      <c r="L13" s="26" t="s">
        <v>30</v>
      </c>
    </row>
    <row r="14" ht="19.5" customHeight="1">
      <c r="A14" s="37">
        <v>6.0</v>
      </c>
      <c r="B14" s="38" t="s">
        <v>15</v>
      </c>
      <c r="C14" s="39" t="s">
        <v>31</v>
      </c>
      <c r="D14" s="40" t="s">
        <v>32</v>
      </c>
      <c r="E14" s="41">
        <v>42795.0</v>
      </c>
      <c r="F14" s="38" t="s">
        <v>33</v>
      </c>
      <c r="G14" s="42" t="s">
        <v>19</v>
      </c>
      <c r="H14" s="43">
        <v>46237.0</v>
      </c>
      <c r="I14" s="43">
        <v>46251.0</v>
      </c>
      <c r="J14" s="37">
        <f t="shared" si="1"/>
        <v>15</v>
      </c>
      <c r="K14" s="44" t="str">
        <f t="shared" si="2"/>
        <v>lunes</v>
      </c>
      <c r="L14" s="45"/>
    </row>
    <row r="15" ht="19.5" customHeight="1">
      <c r="A15" s="37">
        <v>6.0</v>
      </c>
      <c r="B15" s="38" t="s">
        <v>15</v>
      </c>
      <c r="C15" s="39" t="s">
        <v>31</v>
      </c>
      <c r="D15" s="40" t="s">
        <v>32</v>
      </c>
      <c r="E15" s="41">
        <v>42795.0</v>
      </c>
      <c r="F15" s="38" t="s">
        <v>33</v>
      </c>
      <c r="G15" s="42" t="s">
        <v>19</v>
      </c>
      <c r="H15" s="43">
        <v>46405.0</v>
      </c>
      <c r="I15" s="43">
        <v>46419.0</v>
      </c>
      <c r="J15" s="37">
        <f t="shared" si="1"/>
        <v>15</v>
      </c>
      <c r="K15" s="46" t="str">
        <f t="shared" si="2"/>
        <v>lunes</v>
      </c>
      <c r="L15" s="47"/>
    </row>
    <row r="16" ht="19.5" customHeight="1">
      <c r="A16" s="9">
        <v>7.0</v>
      </c>
      <c r="B16" s="10" t="s">
        <v>15</v>
      </c>
      <c r="C16" s="11" t="s">
        <v>34</v>
      </c>
      <c r="D16" s="12" t="s">
        <v>35</v>
      </c>
      <c r="E16" s="13">
        <v>42348.0</v>
      </c>
      <c r="F16" s="10" t="s">
        <v>18</v>
      </c>
      <c r="G16" s="14" t="s">
        <v>19</v>
      </c>
      <c r="H16" s="15">
        <v>46013.0</v>
      </c>
      <c r="I16" s="15">
        <v>46042.0</v>
      </c>
      <c r="J16" s="9">
        <f t="shared" si="1"/>
        <v>30</v>
      </c>
      <c r="K16" s="16" t="str">
        <f t="shared" si="2"/>
        <v>martes</v>
      </c>
      <c r="L16" s="48" t="s">
        <v>36</v>
      </c>
    </row>
    <row r="17" ht="19.5" customHeight="1">
      <c r="A17" s="28">
        <v>8.0</v>
      </c>
      <c r="B17" s="29" t="s">
        <v>15</v>
      </c>
      <c r="C17" s="30" t="s">
        <v>37</v>
      </c>
      <c r="D17" s="31" t="s">
        <v>38</v>
      </c>
      <c r="E17" s="32">
        <v>44853.0</v>
      </c>
      <c r="F17" s="29" t="s">
        <v>39</v>
      </c>
      <c r="G17" s="33" t="s">
        <v>19</v>
      </c>
      <c r="H17" s="34">
        <v>46315.0</v>
      </c>
      <c r="I17" s="34">
        <v>46344.0</v>
      </c>
      <c r="J17" s="28">
        <f t="shared" si="1"/>
        <v>30</v>
      </c>
      <c r="K17" s="35" t="str">
        <f t="shared" si="2"/>
        <v>miércoles</v>
      </c>
      <c r="L17" s="36"/>
    </row>
    <row r="18" ht="19.5" customHeight="1">
      <c r="A18" s="9">
        <v>9.0</v>
      </c>
      <c r="B18" s="10" t="s">
        <v>15</v>
      </c>
      <c r="C18" s="11" t="s">
        <v>40</v>
      </c>
      <c r="D18" s="12" t="s">
        <v>41</v>
      </c>
      <c r="E18" s="13">
        <v>44200.0</v>
      </c>
      <c r="F18" s="10" t="s">
        <v>18</v>
      </c>
      <c r="G18" s="14" t="s">
        <v>19</v>
      </c>
      <c r="H18" s="15">
        <v>46097.0</v>
      </c>
      <c r="I18" s="15">
        <v>46111.0</v>
      </c>
      <c r="J18" s="9">
        <f t="shared" si="1"/>
        <v>15</v>
      </c>
      <c r="K18" s="16" t="str">
        <f t="shared" si="2"/>
        <v>lunes</v>
      </c>
      <c r="L18" s="17"/>
    </row>
    <row r="19" ht="19.5" customHeight="1">
      <c r="A19" s="49">
        <v>9.0</v>
      </c>
      <c r="B19" s="10" t="s">
        <v>15</v>
      </c>
      <c r="C19" s="11" t="s">
        <v>40</v>
      </c>
      <c r="D19" s="12" t="s">
        <v>41</v>
      </c>
      <c r="E19" s="13">
        <v>44200.0</v>
      </c>
      <c r="F19" s="10" t="s">
        <v>18</v>
      </c>
      <c r="G19" s="14" t="s">
        <v>19</v>
      </c>
      <c r="H19" s="15">
        <v>46272.0</v>
      </c>
      <c r="I19" s="15">
        <v>46286.0</v>
      </c>
      <c r="J19" s="9">
        <f t="shared" si="1"/>
        <v>15</v>
      </c>
      <c r="K19" s="16" t="str">
        <f t="shared" si="2"/>
        <v>lunes</v>
      </c>
      <c r="L19" s="17"/>
    </row>
    <row r="20" ht="19.5" customHeight="1">
      <c r="A20" s="28">
        <v>10.0</v>
      </c>
      <c r="B20" s="29" t="s">
        <v>15</v>
      </c>
      <c r="C20" s="30" t="s">
        <v>42</v>
      </c>
      <c r="D20" s="31" t="s">
        <v>43</v>
      </c>
      <c r="E20" s="32">
        <v>42373.0</v>
      </c>
      <c r="F20" s="29" t="s">
        <v>44</v>
      </c>
      <c r="G20" s="33" t="s">
        <v>19</v>
      </c>
      <c r="H20" s="34">
        <v>46086.0</v>
      </c>
      <c r="I20" s="34">
        <v>46092.0</v>
      </c>
      <c r="J20" s="28">
        <f t="shared" si="1"/>
        <v>7</v>
      </c>
      <c r="K20" s="35" t="str">
        <f t="shared" si="2"/>
        <v>miércoles</v>
      </c>
      <c r="L20" s="50" t="s">
        <v>30</v>
      </c>
    </row>
    <row r="21" ht="19.5" customHeight="1">
      <c r="A21" s="28">
        <v>10.0</v>
      </c>
      <c r="B21" s="29" t="s">
        <v>15</v>
      </c>
      <c r="C21" s="30" t="s">
        <v>42</v>
      </c>
      <c r="D21" s="31" t="s">
        <v>43</v>
      </c>
      <c r="E21" s="32">
        <v>42373.0</v>
      </c>
      <c r="F21" s="29" t="s">
        <v>44</v>
      </c>
      <c r="G21" s="33" t="s">
        <v>19</v>
      </c>
      <c r="H21" s="34">
        <v>46304.0</v>
      </c>
      <c r="I21" s="34">
        <v>46310.0</v>
      </c>
      <c r="J21" s="28">
        <f t="shared" si="1"/>
        <v>7</v>
      </c>
      <c r="K21" s="35" t="str">
        <f t="shared" si="2"/>
        <v>jueves</v>
      </c>
      <c r="L21" s="50" t="s">
        <v>30</v>
      </c>
    </row>
    <row r="22" ht="19.5" customHeight="1">
      <c r="A22" s="28">
        <v>10.0</v>
      </c>
      <c r="B22" s="29" t="s">
        <v>15</v>
      </c>
      <c r="C22" s="30" t="s">
        <v>42</v>
      </c>
      <c r="D22" s="31" t="s">
        <v>43</v>
      </c>
      <c r="E22" s="32">
        <v>42373.0</v>
      </c>
      <c r="F22" s="29" t="s">
        <v>44</v>
      </c>
      <c r="G22" s="33" t="s">
        <v>19</v>
      </c>
      <c r="H22" s="34">
        <v>46233.0</v>
      </c>
      <c r="I22" s="34">
        <v>46239.0</v>
      </c>
      <c r="J22" s="28">
        <f t="shared" si="1"/>
        <v>7</v>
      </c>
      <c r="K22" s="35" t="str">
        <f t="shared" si="2"/>
        <v>miércoles</v>
      </c>
      <c r="L22" s="36"/>
    </row>
    <row r="23" ht="19.5" customHeight="1">
      <c r="A23" s="28">
        <v>10.0</v>
      </c>
      <c r="B23" s="29" t="s">
        <v>15</v>
      </c>
      <c r="C23" s="30" t="s">
        <v>42</v>
      </c>
      <c r="D23" s="31" t="s">
        <v>43</v>
      </c>
      <c r="E23" s="32">
        <v>42373.0</v>
      </c>
      <c r="F23" s="29" t="s">
        <v>44</v>
      </c>
      <c r="G23" s="33" t="s">
        <v>19</v>
      </c>
      <c r="H23" s="34">
        <v>46379.0</v>
      </c>
      <c r="I23" s="34">
        <v>46387.0</v>
      </c>
      <c r="J23" s="28">
        <f t="shared" si="1"/>
        <v>9</v>
      </c>
      <c r="K23" s="35" t="str">
        <f t="shared" si="2"/>
        <v>jueves</v>
      </c>
      <c r="L23" s="36"/>
    </row>
    <row r="24" ht="19.5" customHeight="1">
      <c r="A24" s="9">
        <v>11.0</v>
      </c>
      <c r="B24" s="10" t="s">
        <v>15</v>
      </c>
      <c r="C24" s="11" t="s">
        <v>45</v>
      </c>
      <c r="D24" s="12" t="s">
        <v>46</v>
      </c>
      <c r="E24" s="13">
        <v>42737.0</v>
      </c>
      <c r="F24" s="10" t="s">
        <v>18</v>
      </c>
      <c r="G24" s="14" t="s">
        <v>19</v>
      </c>
      <c r="H24" s="15">
        <v>46034.0</v>
      </c>
      <c r="I24" s="15">
        <v>46040.0</v>
      </c>
      <c r="J24" s="9">
        <f t="shared" si="1"/>
        <v>7</v>
      </c>
      <c r="K24" s="16" t="str">
        <f t="shared" si="2"/>
        <v>domingo</v>
      </c>
      <c r="L24" s="17"/>
    </row>
    <row r="25" ht="19.5" customHeight="1">
      <c r="A25" s="9">
        <v>11.0</v>
      </c>
      <c r="B25" s="10" t="s">
        <v>15</v>
      </c>
      <c r="C25" s="11" t="s">
        <v>47</v>
      </c>
      <c r="D25" s="12" t="s">
        <v>46</v>
      </c>
      <c r="E25" s="13">
        <v>42737.0</v>
      </c>
      <c r="F25" s="10" t="s">
        <v>18</v>
      </c>
      <c r="G25" s="14" t="s">
        <v>19</v>
      </c>
      <c r="H25" s="15">
        <v>46097.0</v>
      </c>
      <c r="I25" s="15">
        <v>46111.0</v>
      </c>
      <c r="J25" s="9">
        <f t="shared" si="1"/>
        <v>15</v>
      </c>
      <c r="K25" s="16" t="str">
        <f t="shared" si="2"/>
        <v>lunes</v>
      </c>
      <c r="L25" s="17"/>
    </row>
    <row r="26" ht="19.5" customHeight="1">
      <c r="A26" s="9">
        <v>11.0</v>
      </c>
      <c r="B26" s="10" t="s">
        <v>15</v>
      </c>
      <c r="C26" s="11" t="s">
        <v>48</v>
      </c>
      <c r="D26" s="12" t="s">
        <v>46</v>
      </c>
      <c r="E26" s="13">
        <v>42737.0</v>
      </c>
      <c r="F26" s="10" t="s">
        <v>18</v>
      </c>
      <c r="G26" s="14" t="s">
        <v>19</v>
      </c>
      <c r="H26" s="15">
        <v>46276.0</v>
      </c>
      <c r="I26" s="15">
        <v>46283.0</v>
      </c>
      <c r="J26" s="9">
        <f t="shared" si="1"/>
        <v>8</v>
      </c>
      <c r="K26" s="16" t="str">
        <f t="shared" si="2"/>
        <v>viernes</v>
      </c>
      <c r="L26" s="17"/>
    </row>
    <row r="27" ht="19.5" customHeight="1">
      <c r="A27" s="28">
        <v>12.0</v>
      </c>
      <c r="B27" s="29" t="s">
        <v>15</v>
      </c>
      <c r="C27" s="30" t="s">
        <v>49</v>
      </c>
      <c r="D27" s="31" t="s">
        <v>50</v>
      </c>
      <c r="E27" s="32">
        <v>44601.0</v>
      </c>
      <c r="F27" s="29" t="s">
        <v>51</v>
      </c>
      <c r="G27" s="33" t="s">
        <v>19</v>
      </c>
      <c r="H27" s="51">
        <v>46237.0</v>
      </c>
      <c r="I27" s="51">
        <v>46251.0</v>
      </c>
      <c r="J27" s="28">
        <f t="shared" si="1"/>
        <v>15</v>
      </c>
      <c r="K27" s="35" t="str">
        <f t="shared" si="2"/>
        <v>lunes</v>
      </c>
      <c r="L27" s="36"/>
    </row>
    <row r="28" ht="19.5" customHeight="1">
      <c r="A28" s="28">
        <v>12.0</v>
      </c>
      <c r="B28" s="29" t="s">
        <v>15</v>
      </c>
      <c r="C28" s="30" t="s">
        <v>49</v>
      </c>
      <c r="D28" s="31" t="s">
        <v>50</v>
      </c>
      <c r="E28" s="32">
        <v>44601.0</v>
      </c>
      <c r="F28" s="29" t="s">
        <v>51</v>
      </c>
      <c r="G28" s="33" t="s">
        <v>19</v>
      </c>
      <c r="H28" s="51">
        <v>46391.0</v>
      </c>
      <c r="I28" s="51">
        <v>46405.0</v>
      </c>
      <c r="J28" s="28">
        <f t="shared" si="1"/>
        <v>15</v>
      </c>
      <c r="K28" s="35" t="str">
        <f t="shared" si="2"/>
        <v>lunes</v>
      </c>
      <c r="L28" s="36"/>
    </row>
    <row r="29" ht="19.5" customHeight="1">
      <c r="A29" s="9">
        <v>13.0</v>
      </c>
      <c r="B29" s="10" t="s">
        <v>15</v>
      </c>
      <c r="C29" s="11" t="s">
        <v>52</v>
      </c>
      <c r="D29" s="12" t="s">
        <v>53</v>
      </c>
      <c r="E29" s="13">
        <v>43193.0</v>
      </c>
      <c r="F29" s="10" t="s">
        <v>18</v>
      </c>
      <c r="G29" s="14" t="s">
        <v>19</v>
      </c>
      <c r="H29" s="52">
        <v>46242.0</v>
      </c>
      <c r="I29" s="52">
        <v>46271.0</v>
      </c>
      <c r="J29" s="9">
        <f t="shared" si="1"/>
        <v>30</v>
      </c>
      <c r="K29" s="16" t="str">
        <f t="shared" si="2"/>
        <v>domingo</v>
      </c>
      <c r="L29" s="17"/>
    </row>
    <row r="30" ht="19.5" customHeight="1">
      <c r="A30" s="53">
        <v>14.0</v>
      </c>
      <c r="B30" s="54" t="s">
        <v>15</v>
      </c>
      <c r="C30" s="55" t="s">
        <v>54</v>
      </c>
      <c r="D30" s="56" t="s">
        <v>55</v>
      </c>
      <c r="E30" s="57">
        <v>41122.0</v>
      </c>
      <c r="F30" s="54" t="s">
        <v>18</v>
      </c>
      <c r="G30" s="58" t="s">
        <v>19</v>
      </c>
      <c r="H30" s="59">
        <v>46013.0</v>
      </c>
      <c r="I30" s="60">
        <v>46027.0</v>
      </c>
      <c r="J30" s="53">
        <f t="shared" si="1"/>
        <v>15</v>
      </c>
      <c r="K30" s="61" t="str">
        <f t="shared" si="2"/>
        <v>lunes</v>
      </c>
      <c r="L30" s="62" t="s">
        <v>30</v>
      </c>
    </row>
    <row r="31" ht="19.5" customHeight="1">
      <c r="A31" s="53">
        <v>14.0</v>
      </c>
      <c r="B31" s="54" t="s">
        <v>15</v>
      </c>
      <c r="C31" s="55" t="s">
        <v>54</v>
      </c>
      <c r="D31" s="56" t="s">
        <v>55</v>
      </c>
      <c r="E31" s="57">
        <v>41122.0</v>
      </c>
      <c r="F31" s="54" t="s">
        <v>18</v>
      </c>
      <c r="G31" s="58" t="s">
        <v>19</v>
      </c>
      <c r="H31" s="59">
        <v>46237.0</v>
      </c>
      <c r="I31" s="60">
        <v>46251.0</v>
      </c>
      <c r="J31" s="53">
        <f t="shared" si="1"/>
        <v>15</v>
      </c>
      <c r="K31" s="61" t="str">
        <f t="shared" si="2"/>
        <v>lunes</v>
      </c>
      <c r="L31" s="62" t="s">
        <v>56</v>
      </c>
    </row>
    <row r="32" ht="19.5" customHeight="1">
      <c r="A32" s="18">
        <v>15.0</v>
      </c>
      <c r="B32" s="19" t="s">
        <v>15</v>
      </c>
      <c r="C32" s="20" t="s">
        <v>57</v>
      </c>
      <c r="D32" s="21" t="s">
        <v>58</v>
      </c>
      <c r="E32" s="22">
        <v>43193.0</v>
      </c>
      <c r="F32" s="19" t="s">
        <v>18</v>
      </c>
      <c r="G32" s="23" t="s">
        <v>19</v>
      </c>
      <c r="H32" s="63">
        <v>46008.0</v>
      </c>
      <c r="I32" s="63">
        <v>46009.0</v>
      </c>
      <c r="J32" s="18">
        <f t="shared" si="1"/>
        <v>2</v>
      </c>
      <c r="K32" s="25" t="str">
        <f t="shared" si="2"/>
        <v>jueves</v>
      </c>
      <c r="L32" s="26" t="s">
        <v>59</v>
      </c>
    </row>
    <row r="33" ht="19.5" customHeight="1">
      <c r="A33" s="18">
        <v>15.0</v>
      </c>
      <c r="B33" s="19" t="s">
        <v>15</v>
      </c>
      <c r="C33" s="20" t="s">
        <v>57</v>
      </c>
      <c r="D33" s="21" t="s">
        <v>58</v>
      </c>
      <c r="E33" s="22">
        <v>43193.0</v>
      </c>
      <c r="F33" s="19" t="s">
        <v>18</v>
      </c>
      <c r="G33" s="23" t="s">
        <v>19</v>
      </c>
      <c r="H33" s="63">
        <v>46259.0</v>
      </c>
      <c r="I33" s="24">
        <v>46273.0</v>
      </c>
      <c r="J33" s="18">
        <f t="shared" si="1"/>
        <v>15</v>
      </c>
      <c r="K33" s="25" t="str">
        <f t="shared" si="2"/>
        <v>martes</v>
      </c>
      <c r="L33" s="27"/>
    </row>
    <row r="34" ht="19.5" customHeight="1">
      <c r="A34" s="18">
        <v>15.0</v>
      </c>
      <c r="B34" s="19" t="s">
        <v>15</v>
      </c>
      <c r="C34" s="20" t="s">
        <v>57</v>
      </c>
      <c r="D34" s="21" t="s">
        <v>58</v>
      </c>
      <c r="E34" s="22">
        <v>43193.0</v>
      </c>
      <c r="F34" s="19" t="s">
        <v>18</v>
      </c>
      <c r="G34" s="23" t="s">
        <v>19</v>
      </c>
      <c r="H34" s="63">
        <v>46281.0</v>
      </c>
      <c r="I34" s="24">
        <v>46293.0</v>
      </c>
      <c r="J34" s="18">
        <f t="shared" si="1"/>
        <v>13</v>
      </c>
      <c r="K34" s="25" t="str">
        <f t="shared" si="2"/>
        <v>lunes</v>
      </c>
      <c r="L34" s="27"/>
    </row>
    <row r="35" ht="19.5" customHeight="1">
      <c r="A35" s="64">
        <v>16.0</v>
      </c>
      <c r="B35" s="65" t="s">
        <v>15</v>
      </c>
      <c r="C35" s="66" t="s">
        <v>60</v>
      </c>
      <c r="D35" s="67" t="s">
        <v>61</v>
      </c>
      <c r="E35" s="68">
        <v>44929.0</v>
      </c>
      <c r="F35" s="65" t="s">
        <v>18</v>
      </c>
      <c r="G35" s="69" t="s">
        <v>19</v>
      </c>
      <c r="H35" s="70">
        <v>46132.0</v>
      </c>
      <c r="I35" s="70">
        <v>46140.0</v>
      </c>
      <c r="J35" s="64">
        <f t="shared" si="1"/>
        <v>9</v>
      </c>
      <c r="K35" s="71" t="str">
        <f t="shared" si="2"/>
        <v>martes</v>
      </c>
      <c r="L35" s="72" t="s">
        <v>30</v>
      </c>
    </row>
    <row r="36" ht="19.5" customHeight="1">
      <c r="A36" s="64">
        <v>16.0</v>
      </c>
      <c r="B36" s="65" t="s">
        <v>15</v>
      </c>
      <c r="C36" s="66" t="s">
        <v>60</v>
      </c>
      <c r="D36" s="67" t="s">
        <v>61</v>
      </c>
      <c r="E36" s="68">
        <v>44929.0</v>
      </c>
      <c r="F36" s="65" t="s">
        <v>18</v>
      </c>
      <c r="G36" s="69" t="s">
        <v>19</v>
      </c>
      <c r="H36" s="70">
        <v>46233.0</v>
      </c>
      <c r="I36" s="70">
        <v>46243.0</v>
      </c>
      <c r="J36" s="64">
        <f t="shared" si="1"/>
        <v>11</v>
      </c>
      <c r="K36" s="71" t="str">
        <f t="shared" si="2"/>
        <v>domingo</v>
      </c>
      <c r="L36" s="72" t="s">
        <v>30</v>
      </c>
    </row>
    <row r="37" ht="19.5" customHeight="1">
      <c r="A37" s="64">
        <v>16.0</v>
      </c>
      <c r="B37" s="65" t="s">
        <v>15</v>
      </c>
      <c r="C37" s="66" t="s">
        <v>60</v>
      </c>
      <c r="D37" s="67" t="s">
        <v>61</v>
      </c>
      <c r="E37" s="68">
        <v>44929.0</v>
      </c>
      <c r="F37" s="65" t="s">
        <v>18</v>
      </c>
      <c r="G37" s="69" t="s">
        <v>19</v>
      </c>
      <c r="H37" s="70">
        <v>46384.0</v>
      </c>
      <c r="I37" s="70">
        <v>46393.0</v>
      </c>
      <c r="J37" s="64">
        <f t="shared" si="1"/>
        <v>10</v>
      </c>
      <c r="K37" s="71" t="str">
        <f t="shared" si="2"/>
        <v>miércoles</v>
      </c>
      <c r="L37" s="72" t="s">
        <v>30</v>
      </c>
    </row>
    <row r="38" ht="19.5" customHeight="1">
      <c r="A38" s="9">
        <v>17.0</v>
      </c>
      <c r="B38" s="10" t="s">
        <v>15</v>
      </c>
      <c r="C38" s="11" t="s">
        <v>62</v>
      </c>
      <c r="D38" s="12" t="s">
        <v>63</v>
      </c>
      <c r="E38" s="13">
        <v>45232.0</v>
      </c>
      <c r="F38" s="10" t="s">
        <v>64</v>
      </c>
      <c r="G38" s="14" t="s">
        <v>19</v>
      </c>
      <c r="H38" s="15">
        <v>46090.0</v>
      </c>
      <c r="I38" s="15">
        <v>46096.0</v>
      </c>
      <c r="J38" s="9">
        <f t="shared" si="1"/>
        <v>7</v>
      </c>
      <c r="K38" s="16" t="str">
        <f t="shared" si="2"/>
        <v>domingo</v>
      </c>
      <c r="L38" s="17" t="s">
        <v>30</v>
      </c>
    </row>
    <row r="39" ht="19.5" customHeight="1">
      <c r="A39" s="9">
        <v>17.0</v>
      </c>
      <c r="B39" s="10" t="s">
        <v>15</v>
      </c>
      <c r="C39" s="11" t="s">
        <v>62</v>
      </c>
      <c r="D39" s="12" t="s">
        <v>63</v>
      </c>
      <c r="E39" s="13">
        <v>45232.0</v>
      </c>
      <c r="F39" s="10" t="s">
        <v>64</v>
      </c>
      <c r="G39" s="14" t="s">
        <v>19</v>
      </c>
      <c r="H39" s="15">
        <v>46216.0</v>
      </c>
      <c r="I39" s="15">
        <v>46222.0</v>
      </c>
      <c r="J39" s="9">
        <f t="shared" si="1"/>
        <v>7</v>
      </c>
      <c r="K39" s="16" t="str">
        <f t="shared" si="2"/>
        <v>domingo</v>
      </c>
      <c r="L39" s="17"/>
    </row>
    <row r="40" ht="19.5" customHeight="1">
      <c r="A40" s="9">
        <v>17.0</v>
      </c>
      <c r="B40" s="10" t="s">
        <v>15</v>
      </c>
      <c r="C40" s="11" t="s">
        <v>62</v>
      </c>
      <c r="D40" s="12" t="s">
        <v>63</v>
      </c>
      <c r="E40" s="13">
        <v>45232.0</v>
      </c>
      <c r="F40" s="10" t="s">
        <v>64</v>
      </c>
      <c r="G40" s="14" t="s">
        <v>19</v>
      </c>
      <c r="H40" s="15">
        <v>46300.0</v>
      </c>
      <c r="I40" s="15">
        <v>46306.0</v>
      </c>
      <c r="J40" s="9">
        <f t="shared" si="1"/>
        <v>7</v>
      </c>
      <c r="K40" s="16" t="str">
        <f t="shared" si="2"/>
        <v>domingo</v>
      </c>
      <c r="L40" s="17" t="s">
        <v>30</v>
      </c>
    </row>
    <row r="41" ht="19.5" customHeight="1">
      <c r="A41" s="9">
        <v>17.0</v>
      </c>
      <c r="B41" s="10" t="s">
        <v>15</v>
      </c>
      <c r="C41" s="11" t="s">
        <v>62</v>
      </c>
      <c r="D41" s="12" t="s">
        <v>63</v>
      </c>
      <c r="E41" s="13">
        <v>45232.0</v>
      </c>
      <c r="F41" s="10" t="s">
        <v>64</v>
      </c>
      <c r="G41" s="14" t="s">
        <v>19</v>
      </c>
      <c r="H41" s="15">
        <v>46379.0</v>
      </c>
      <c r="I41" s="15">
        <v>46387.0</v>
      </c>
      <c r="J41" s="9">
        <f t="shared" si="1"/>
        <v>9</v>
      </c>
      <c r="K41" s="16" t="str">
        <f t="shared" si="2"/>
        <v>jueves</v>
      </c>
      <c r="L41" s="17"/>
    </row>
    <row r="42" ht="19.5" customHeight="1">
      <c r="A42" s="28">
        <v>18.0</v>
      </c>
      <c r="B42" s="29" t="s">
        <v>15</v>
      </c>
      <c r="C42" s="30" t="s">
        <v>65</v>
      </c>
      <c r="D42" s="31" t="s">
        <v>66</v>
      </c>
      <c r="E42" s="32">
        <v>43605.0</v>
      </c>
      <c r="F42" s="29" t="s">
        <v>18</v>
      </c>
      <c r="G42" s="33" t="s">
        <v>19</v>
      </c>
      <c r="H42" s="34">
        <v>46235.0</v>
      </c>
      <c r="I42" s="34">
        <v>46264.0</v>
      </c>
      <c r="J42" s="28">
        <f t="shared" si="1"/>
        <v>30</v>
      </c>
      <c r="K42" s="35" t="str">
        <f t="shared" si="2"/>
        <v>domingo</v>
      </c>
      <c r="L42" s="36"/>
    </row>
    <row r="43" ht="19.5" customHeight="1">
      <c r="A43" s="9">
        <v>19.0</v>
      </c>
      <c r="B43" s="10" t="s">
        <v>15</v>
      </c>
      <c r="C43" s="11" t="s">
        <v>67</v>
      </c>
      <c r="D43" s="12" t="s">
        <v>68</v>
      </c>
      <c r="E43" s="13">
        <v>44914.0</v>
      </c>
      <c r="F43" s="10" t="s">
        <v>18</v>
      </c>
      <c r="G43" s="14" t="s">
        <v>19</v>
      </c>
      <c r="H43" s="15">
        <v>46014.0</v>
      </c>
      <c r="I43" s="15">
        <v>46022.0</v>
      </c>
      <c r="J43" s="9">
        <f t="shared" si="1"/>
        <v>9</v>
      </c>
      <c r="K43" s="16" t="str">
        <f t="shared" si="2"/>
        <v>miércoles</v>
      </c>
      <c r="L43" s="17"/>
    </row>
    <row r="44" ht="19.5" customHeight="1">
      <c r="A44" s="9">
        <v>19.0</v>
      </c>
      <c r="B44" s="10" t="s">
        <v>15</v>
      </c>
      <c r="C44" s="11" t="s">
        <v>67</v>
      </c>
      <c r="D44" s="12" t="s">
        <v>68</v>
      </c>
      <c r="E44" s="13">
        <v>44914.0</v>
      </c>
      <c r="F44" s="10" t="s">
        <v>18</v>
      </c>
      <c r="G44" s="14" t="s">
        <v>19</v>
      </c>
      <c r="H44" s="15">
        <v>46069.0</v>
      </c>
      <c r="I44" s="15">
        <v>46075.0</v>
      </c>
      <c r="J44" s="9">
        <f t="shared" si="1"/>
        <v>7</v>
      </c>
      <c r="K44" s="16" t="str">
        <f t="shared" si="2"/>
        <v>domingo</v>
      </c>
      <c r="L44" s="17"/>
    </row>
    <row r="45" ht="19.5" customHeight="1">
      <c r="A45" s="9">
        <v>19.0</v>
      </c>
      <c r="B45" s="10" t="s">
        <v>15</v>
      </c>
      <c r="C45" s="11" t="s">
        <v>67</v>
      </c>
      <c r="D45" s="12" t="s">
        <v>68</v>
      </c>
      <c r="E45" s="13">
        <v>44914.0</v>
      </c>
      <c r="F45" s="10" t="s">
        <v>18</v>
      </c>
      <c r="G45" s="14" t="s">
        <v>19</v>
      </c>
      <c r="H45" s="15">
        <v>46272.0</v>
      </c>
      <c r="I45" s="15">
        <v>46285.0</v>
      </c>
      <c r="J45" s="9">
        <f t="shared" si="1"/>
        <v>14</v>
      </c>
      <c r="K45" s="16" t="str">
        <f t="shared" si="2"/>
        <v>domingo</v>
      </c>
      <c r="L45" s="17"/>
    </row>
    <row r="46" ht="19.5" customHeight="1">
      <c r="A46" s="28">
        <v>20.0</v>
      </c>
      <c r="B46" s="29" t="s">
        <v>15</v>
      </c>
      <c r="C46" s="30" t="s">
        <v>69</v>
      </c>
      <c r="D46" s="31" t="s">
        <v>70</v>
      </c>
      <c r="E46" s="32">
        <v>41821.0</v>
      </c>
      <c r="F46" s="29" t="s">
        <v>18</v>
      </c>
      <c r="G46" s="33" t="s">
        <v>19</v>
      </c>
      <c r="H46" s="51">
        <v>46237.0</v>
      </c>
      <c r="I46" s="51">
        <v>46251.0</v>
      </c>
      <c r="J46" s="28">
        <f t="shared" si="1"/>
        <v>15</v>
      </c>
      <c r="K46" s="35" t="str">
        <f t="shared" si="2"/>
        <v>lunes</v>
      </c>
      <c r="L46" s="36"/>
    </row>
    <row r="47" ht="19.5" customHeight="1">
      <c r="A47" s="28">
        <v>20.0</v>
      </c>
      <c r="B47" s="29" t="s">
        <v>15</v>
      </c>
      <c r="C47" s="30" t="s">
        <v>69</v>
      </c>
      <c r="D47" s="31" t="s">
        <v>70</v>
      </c>
      <c r="E47" s="32">
        <v>41821.0</v>
      </c>
      <c r="F47" s="29" t="s">
        <v>18</v>
      </c>
      <c r="G47" s="33" t="s">
        <v>19</v>
      </c>
      <c r="H47" s="34">
        <v>46363.0</v>
      </c>
      <c r="I47" s="34">
        <v>46377.0</v>
      </c>
      <c r="J47" s="28">
        <f t="shared" si="1"/>
        <v>15</v>
      </c>
      <c r="K47" s="35" t="str">
        <f t="shared" si="2"/>
        <v>lunes</v>
      </c>
      <c r="L47" s="36"/>
    </row>
    <row r="48" ht="19.5" customHeight="1">
      <c r="A48" s="9">
        <v>21.0</v>
      </c>
      <c r="B48" s="10" t="s">
        <v>15</v>
      </c>
      <c r="C48" s="11" t="s">
        <v>71</v>
      </c>
      <c r="D48" s="12" t="s">
        <v>72</v>
      </c>
      <c r="E48" s="13">
        <v>43313.0</v>
      </c>
      <c r="F48" s="10" t="s">
        <v>18</v>
      </c>
      <c r="G48" s="14" t="s">
        <v>19</v>
      </c>
      <c r="H48" s="73">
        <v>46244.0</v>
      </c>
      <c r="I48" s="73">
        <v>46250.0</v>
      </c>
      <c r="J48" s="9">
        <f t="shared" si="1"/>
        <v>7</v>
      </c>
      <c r="K48" s="16" t="str">
        <f t="shared" si="2"/>
        <v>domingo</v>
      </c>
      <c r="L48" s="17"/>
    </row>
    <row r="49" ht="19.5" customHeight="1">
      <c r="A49" s="9">
        <v>21.0</v>
      </c>
      <c r="B49" s="10" t="s">
        <v>15</v>
      </c>
      <c r="C49" s="11" t="s">
        <v>71</v>
      </c>
      <c r="D49" s="12" t="s">
        <v>72</v>
      </c>
      <c r="E49" s="13">
        <v>43313.0</v>
      </c>
      <c r="F49" s="10" t="s">
        <v>18</v>
      </c>
      <c r="G49" s="14" t="s">
        <v>19</v>
      </c>
      <c r="H49" s="15">
        <v>46279.0</v>
      </c>
      <c r="I49" s="15">
        <v>46285.0</v>
      </c>
      <c r="J49" s="9">
        <f t="shared" si="1"/>
        <v>7</v>
      </c>
      <c r="K49" s="16" t="str">
        <f t="shared" si="2"/>
        <v>domingo</v>
      </c>
      <c r="L49" s="17"/>
    </row>
    <row r="50" ht="19.5" customHeight="1">
      <c r="A50" s="9">
        <v>21.0</v>
      </c>
      <c r="B50" s="10" t="s">
        <v>15</v>
      </c>
      <c r="C50" s="11" t="s">
        <v>71</v>
      </c>
      <c r="D50" s="12" t="s">
        <v>72</v>
      </c>
      <c r="E50" s="13">
        <v>43313.0</v>
      </c>
      <c r="F50" s="10" t="s">
        <v>18</v>
      </c>
      <c r="G50" s="14" t="s">
        <v>19</v>
      </c>
      <c r="H50" s="15">
        <v>46307.0</v>
      </c>
      <c r="I50" s="15">
        <v>46313.0</v>
      </c>
      <c r="J50" s="9">
        <f t="shared" si="1"/>
        <v>7</v>
      </c>
      <c r="K50" s="16" t="str">
        <f t="shared" si="2"/>
        <v>domingo</v>
      </c>
      <c r="L50" s="17"/>
    </row>
    <row r="51" ht="19.5" customHeight="1">
      <c r="A51" s="9">
        <v>21.0</v>
      </c>
      <c r="B51" s="10" t="s">
        <v>15</v>
      </c>
      <c r="C51" s="11" t="s">
        <v>71</v>
      </c>
      <c r="D51" s="12" t="s">
        <v>72</v>
      </c>
      <c r="E51" s="13">
        <v>43313.0</v>
      </c>
      <c r="F51" s="10" t="s">
        <v>18</v>
      </c>
      <c r="G51" s="14" t="s">
        <v>19</v>
      </c>
      <c r="H51" s="15">
        <v>46335.0</v>
      </c>
      <c r="I51" s="15">
        <v>46343.0</v>
      </c>
      <c r="J51" s="9">
        <f t="shared" si="1"/>
        <v>9</v>
      </c>
      <c r="K51" s="74" t="str">
        <f t="shared" si="2"/>
        <v>martes</v>
      </c>
      <c r="L51" s="75"/>
    </row>
    <row r="52" ht="19.5" customHeight="1">
      <c r="A52" s="28">
        <v>22.0</v>
      </c>
      <c r="B52" s="29" t="s">
        <v>15</v>
      </c>
      <c r="C52" s="30" t="s">
        <v>73</v>
      </c>
      <c r="D52" s="31" t="s">
        <v>74</v>
      </c>
      <c r="E52" s="32">
        <v>41913.0</v>
      </c>
      <c r="F52" s="29" t="s">
        <v>18</v>
      </c>
      <c r="G52" s="33" t="s">
        <v>19</v>
      </c>
      <c r="H52" s="34">
        <v>46299.0</v>
      </c>
      <c r="I52" s="34">
        <v>46328.0</v>
      </c>
      <c r="J52" s="28">
        <f t="shared" si="1"/>
        <v>30</v>
      </c>
      <c r="K52" s="35" t="str">
        <f t="shared" si="2"/>
        <v>lunes</v>
      </c>
      <c r="L52" s="36"/>
    </row>
    <row r="53" ht="19.5" customHeight="1">
      <c r="A53" s="9">
        <v>23.0</v>
      </c>
      <c r="B53" s="10" t="s">
        <v>15</v>
      </c>
      <c r="C53" s="11" t="s">
        <v>75</v>
      </c>
      <c r="D53" s="12" t="s">
        <v>76</v>
      </c>
      <c r="E53" s="13">
        <v>44991.0</v>
      </c>
      <c r="F53" s="10" t="s">
        <v>18</v>
      </c>
      <c r="G53" s="14" t="s">
        <v>19</v>
      </c>
      <c r="H53" s="15">
        <v>46088.0</v>
      </c>
      <c r="I53" s="15">
        <v>46117.0</v>
      </c>
      <c r="J53" s="9">
        <f t="shared" si="1"/>
        <v>30</v>
      </c>
      <c r="K53" s="16" t="str">
        <f t="shared" si="2"/>
        <v>domingo</v>
      </c>
      <c r="L53" s="17"/>
    </row>
    <row r="54" ht="19.5" customHeight="1">
      <c r="A54" s="28">
        <v>24.0</v>
      </c>
      <c r="B54" s="29" t="s">
        <v>15</v>
      </c>
      <c r="C54" s="30" t="s">
        <v>77</v>
      </c>
      <c r="D54" s="31" t="s">
        <v>78</v>
      </c>
      <c r="E54" s="32">
        <v>44200.0</v>
      </c>
      <c r="F54" s="29" t="s">
        <v>18</v>
      </c>
      <c r="G54" s="33" t="s">
        <v>19</v>
      </c>
      <c r="H54" s="34">
        <v>46097.0</v>
      </c>
      <c r="I54" s="76">
        <v>46111.0</v>
      </c>
      <c r="J54" s="28">
        <f t="shared" si="1"/>
        <v>15</v>
      </c>
      <c r="K54" s="35" t="str">
        <f t="shared" si="2"/>
        <v>lunes</v>
      </c>
      <c r="L54" s="36"/>
    </row>
    <row r="55" ht="19.5" customHeight="1">
      <c r="A55" s="28">
        <v>24.0</v>
      </c>
      <c r="B55" s="29" t="s">
        <v>15</v>
      </c>
      <c r="C55" s="30" t="s">
        <v>79</v>
      </c>
      <c r="D55" s="31" t="s">
        <v>78</v>
      </c>
      <c r="E55" s="77">
        <v>44200.0</v>
      </c>
      <c r="F55" s="29" t="s">
        <v>18</v>
      </c>
      <c r="G55" s="33" t="s">
        <v>19</v>
      </c>
      <c r="H55" s="78">
        <v>46328.0</v>
      </c>
      <c r="I55" s="78">
        <v>46342.0</v>
      </c>
      <c r="J55" s="28">
        <f t="shared" si="1"/>
        <v>15</v>
      </c>
      <c r="K55" s="28" t="str">
        <f t="shared" si="2"/>
        <v>lunes</v>
      </c>
      <c r="L55" s="17"/>
    </row>
    <row r="56" ht="19.5" customHeight="1">
      <c r="A56" s="9">
        <v>25.0</v>
      </c>
      <c r="B56" s="10" t="s">
        <v>15</v>
      </c>
      <c r="C56" s="11" t="s">
        <v>80</v>
      </c>
      <c r="D56" s="12" t="s">
        <v>81</v>
      </c>
      <c r="E56" s="13">
        <v>41229.0</v>
      </c>
      <c r="F56" s="10" t="s">
        <v>22</v>
      </c>
      <c r="G56" s="14" t="s">
        <v>19</v>
      </c>
      <c r="H56" s="15">
        <v>46113.0</v>
      </c>
      <c r="I56" s="15">
        <v>46126.0</v>
      </c>
      <c r="J56" s="9">
        <f t="shared" si="1"/>
        <v>14</v>
      </c>
      <c r="K56" s="16" t="str">
        <f t="shared" si="2"/>
        <v>martes</v>
      </c>
      <c r="L56" s="17"/>
    </row>
    <row r="57" ht="19.5" customHeight="1">
      <c r="A57" s="9">
        <v>25.0</v>
      </c>
      <c r="B57" s="10" t="s">
        <v>15</v>
      </c>
      <c r="C57" s="11" t="s">
        <v>80</v>
      </c>
      <c r="D57" s="12" t="s">
        <v>81</v>
      </c>
      <c r="E57" s="13">
        <v>41229.0</v>
      </c>
      <c r="F57" s="10" t="s">
        <v>22</v>
      </c>
      <c r="G57" s="14" t="s">
        <v>19</v>
      </c>
      <c r="H57" s="15">
        <v>46237.0</v>
      </c>
      <c r="I57" s="15">
        <v>46252.0</v>
      </c>
      <c r="J57" s="9">
        <f t="shared" si="1"/>
        <v>16</v>
      </c>
      <c r="K57" s="16" t="str">
        <f t="shared" si="2"/>
        <v>martes</v>
      </c>
      <c r="L57" s="17"/>
    </row>
    <row r="58" ht="19.5" customHeight="1">
      <c r="A58" s="28">
        <v>26.0</v>
      </c>
      <c r="B58" s="29" t="s">
        <v>15</v>
      </c>
      <c r="C58" s="30" t="s">
        <v>82</v>
      </c>
      <c r="D58" s="31" t="s">
        <v>83</v>
      </c>
      <c r="E58" s="32">
        <v>41229.0</v>
      </c>
      <c r="F58" s="29" t="s">
        <v>18</v>
      </c>
      <c r="G58" s="33" t="s">
        <v>19</v>
      </c>
      <c r="H58" s="34">
        <v>46396.0</v>
      </c>
      <c r="I58" s="34">
        <v>46425.0</v>
      </c>
      <c r="J58" s="28">
        <f t="shared" si="1"/>
        <v>30</v>
      </c>
      <c r="K58" s="35" t="str">
        <f t="shared" si="2"/>
        <v>domingo</v>
      </c>
      <c r="L58" s="36"/>
    </row>
    <row r="59" ht="19.5" customHeight="1">
      <c r="A59" s="9">
        <v>27.0</v>
      </c>
      <c r="B59" s="10" t="s">
        <v>15</v>
      </c>
      <c r="C59" s="11" t="s">
        <v>84</v>
      </c>
      <c r="D59" s="12" t="s">
        <v>85</v>
      </c>
      <c r="E59" s="13">
        <v>44481.0</v>
      </c>
      <c r="F59" s="10" t="s">
        <v>18</v>
      </c>
      <c r="G59" s="14" t="s">
        <v>19</v>
      </c>
      <c r="H59" s="15">
        <v>46241.0</v>
      </c>
      <c r="I59" s="15">
        <v>46254.0</v>
      </c>
      <c r="J59" s="9">
        <f t="shared" si="1"/>
        <v>14</v>
      </c>
      <c r="K59" s="16" t="str">
        <f t="shared" si="2"/>
        <v>jueves</v>
      </c>
      <c r="L59" s="17"/>
    </row>
    <row r="60" ht="19.5" customHeight="1">
      <c r="A60" s="49">
        <v>27.0</v>
      </c>
      <c r="B60" s="79" t="s">
        <v>15</v>
      </c>
      <c r="C60" s="80" t="s">
        <v>84</v>
      </c>
      <c r="D60" s="81" t="s">
        <v>85</v>
      </c>
      <c r="E60" s="82">
        <v>44481.0</v>
      </c>
      <c r="F60" s="10" t="s">
        <v>18</v>
      </c>
      <c r="G60" s="14" t="s">
        <v>19</v>
      </c>
      <c r="H60" s="52">
        <v>46188.0</v>
      </c>
      <c r="I60" s="15">
        <v>46203.0</v>
      </c>
      <c r="J60" s="9">
        <f t="shared" si="1"/>
        <v>16</v>
      </c>
      <c r="K60" s="16" t="str">
        <f t="shared" si="2"/>
        <v>martes</v>
      </c>
      <c r="L60" s="17"/>
    </row>
    <row r="61" ht="19.5" customHeight="1">
      <c r="A61" s="28">
        <v>28.0</v>
      </c>
      <c r="B61" s="29" t="s">
        <v>15</v>
      </c>
      <c r="C61" s="30" t="s">
        <v>86</v>
      </c>
      <c r="D61" s="31" t="s">
        <v>87</v>
      </c>
      <c r="E61" s="32">
        <v>44200.0</v>
      </c>
      <c r="F61" s="29" t="s">
        <v>88</v>
      </c>
      <c r="G61" s="33" t="s">
        <v>19</v>
      </c>
      <c r="H61" s="34">
        <v>46082.0</v>
      </c>
      <c r="I61" s="34">
        <v>46111.0</v>
      </c>
      <c r="J61" s="28">
        <f t="shared" si="1"/>
        <v>30</v>
      </c>
      <c r="K61" s="35" t="str">
        <f t="shared" si="2"/>
        <v>lunes</v>
      </c>
      <c r="L61" s="36"/>
    </row>
    <row r="62" ht="19.5" customHeight="1">
      <c r="A62" s="9">
        <v>29.0</v>
      </c>
      <c r="B62" s="10" t="s">
        <v>15</v>
      </c>
      <c r="C62" s="11" t="s">
        <v>89</v>
      </c>
      <c r="D62" s="12" t="s">
        <v>90</v>
      </c>
      <c r="E62" s="13">
        <v>45621.0</v>
      </c>
      <c r="F62" s="10" t="s">
        <v>91</v>
      </c>
      <c r="G62" s="14" t="s">
        <v>19</v>
      </c>
      <c r="H62" s="15">
        <v>46013.0</v>
      </c>
      <c r="I62" s="15">
        <v>46026.0</v>
      </c>
      <c r="J62" s="9">
        <f t="shared" si="1"/>
        <v>14</v>
      </c>
      <c r="K62" s="16" t="str">
        <f t="shared" si="2"/>
        <v>domingo</v>
      </c>
      <c r="L62" s="17"/>
    </row>
    <row r="63" ht="19.5" customHeight="1">
      <c r="A63" s="9">
        <v>29.0</v>
      </c>
      <c r="B63" s="10" t="s">
        <v>15</v>
      </c>
      <c r="C63" s="11" t="s">
        <v>89</v>
      </c>
      <c r="D63" s="12" t="s">
        <v>90</v>
      </c>
      <c r="E63" s="13">
        <v>45621.0</v>
      </c>
      <c r="F63" s="10" t="s">
        <v>91</v>
      </c>
      <c r="G63" s="14" t="s">
        <v>19</v>
      </c>
      <c r="H63" s="15">
        <v>46062.0</v>
      </c>
      <c r="I63" s="15">
        <v>46070.0</v>
      </c>
      <c r="J63" s="9">
        <f t="shared" si="1"/>
        <v>9</v>
      </c>
      <c r="K63" s="16" t="str">
        <f t="shared" si="2"/>
        <v>martes</v>
      </c>
      <c r="L63" s="17"/>
    </row>
    <row r="64" ht="19.5" customHeight="1">
      <c r="A64" s="9">
        <v>29.0</v>
      </c>
      <c r="B64" s="10" t="s">
        <v>15</v>
      </c>
      <c r="C64" s="11" t="s">
        <v>89</v>
      </c>
      <c r="D64" s="12" t="s">
        <v>90</v>
      </c>
      <c r="E64" s="13">
        <v>45621.0</v>
      </c>
      <c r="F64" s="10" t="s">
        <v>91</v>
      </c>
      <c r="G64" s="14" t="s">
        <v>19</v>
      </c>
      <c r="H64" s="15">
        <v>46233.0</v>
      </c>
      <c r="I64" s="15">
        <v>46239.0</v>
      </c>
      <c r="J64" s="9">
        <f t="shared" si="1"/>
        <v>7</v>
      </c>
      <c r="K64" s="16" t="str">
        <f t="shared" si="2"/>
        <v>miércoles</v>
      </c>
      <c r="L64" s="17"/>
    </row>
    <row r="65" ht="19.5" customHeight="1">
      <c r="A65" s="28">
        <v>30.0</v>
      </c>
      <c r="B65" s="29" t="s">
        <v>15</v>
      </c>
      <c r="C65" s="30" t="s">
        <v>92</v>
      </c>
      <c r="D65" s="31" t="s">
        <v>93</v>
      </c>
      <c r="E65" s="32">
        <v>43901.0</v>
      </c>
      <c r="F65" s="29" t="s">
        <v>18</v>
      </c>
      <c r="G65" s="33" t="s">
        <v>19</v>
      </c>
      <c r="H65" s="34">
        <v>46266.0</v>
      </c>
      <c r="I65" s="34">
        <v>46280.0</v>
      </c>
      <c r="J65" s="28">
        <f t="shared" si="1"/>
        <v>15</v>
      </c>
      <c r="K65" s="35" t="str">
        <f t="shared" si="2"/>
        <v>martes</v>
      </c>
      <c r="L65" s="36"/>
    </row>
    <row r="66" ht="19.5" customHeight="1">
      <c r="A66" s="9">
        <v>31.0</v>
      </c>
      <c r="B66" s="10" t="s">
        <v>15</v>
      </c>
      <c r="C66" s="11" t="s">
        <v>94</v>
      </c>
      <c r="D66" s="12" t="s">
        <v>95</v>
      </c>
      <c r="E66" s="13">
        <v>42522.0</v>
      </c>
      <c r="F66" s="10" t="s">
        <v>18</v>
      </c>
      <c r="G66" s="14" t="s">
        <v>19</v>
      </c>
      <c r="H66" s="15">
        <v>46244.0</v>
      </c>
      <c r="I66" s="15">
        <v>46273.0</v>
      </c>
      <c r="J66" s="9">
        <f t="shared" si="1"/>
        <v>30</v>
      </c>
      <c r="K66" s="16" t="str">
        <f t="shared" si="2"/>
        <v>martes</v>
      </c>
      <c r="L66" s="17"/>
    </row>
    <row r="67" ht="19.5" customHeight="1">
      <c r="A67" s="28">
        <v>32.0</v>
      </c>
      <c r="B67" s="29" t="s">
        <v>15</v>
      </c>
      <c r="C67" s="30" t="s">
        <v>96</v>
      </c>
      <c r="D67" s="31" t="s">
        <v>97</v>
      </c>
      <c r="E67" s="32">
        <v>41276.0</v>
      </c>
      <c r="F67" s="29" t="s">
        <v>98</v>
      </c>
      <c r="G67" s="33" t="s">
        <v>19</v>
      </c>
      <c r="H67" s="34">
        <v>46051.0</v>
      </c>
      <c r="I67" s="34">
        <v>46054.0</v>
      </c>
      <c r="J67" s="28">
        <f t="shared" si="1"/>
        <v>4</v>
      </c>
      <c r="K67" s="35" t="str">
        <f t="shared" si="2"/>
        <v>domingo</v>
      </c>
      <c r="L67" s="50" t="s">
        <v>99</v>
      </c>
    </row>
    <row r="68" ht="19.5" customHeight="1">
      <c r="A68" s="28">
        <v>32.0</v>
      </c>
      <c r="B68" s="29" t="s">
        <v>15</v>
      </c>
      <c r="C68" s="30" t="s">
        <v>96</v>
      </c>
      <c r="D68" s="31" t="s">
        <v>97</v>
      </c>
      <c r="E68" s="32">
        <v>41276.0</v>
      </c>
      <c r="F68" s="29" t="s">
        <v>98</v>
      </c>
      <c r="G68" s="33" t="s">
        <v>19</v>
      </c>
      <c r="H68" s="34">
        <v>46118.0</v>
      </c>
      <c r="I68" s="34">
        <v>46120.0</v>
      </c>
      <c r="J68" s="28">
        <f t="shared" si="1"/>
        <v>3</v>
      </c>
      <c r="K68" s="35" t="str">
        <f t="shared" si="2"/>
        <v>miércoles</v>
      </c>
      <c r="L68" s="50" t="s">
        <v>99</v>
      </c>
    </row>
    <row r="69" ht="19.5" customHeight="1">
      <c r="A69" s="28">
        <v>32.0</v>
      </c>
      <c r="B69" s="29" t="s">
        <v>15</v>
      </c>
      <c r="C69" s="30" t="s">
        <v>96</v>
      </c>
      <c r="D69" s="31" t="s">
        <v>97</v>
      </c>
      <c r="E69" s="32">
        <v>41276.0</v>
      </c>
      <c r="F69" s="29" t="s">
        <v>98</v>
      </c>
      <c r="G69" s="33" t="s">
        <v>19</v>
      </c>
      <c r="H69" s="34">
        <v>46251.0</v>
      </c>
      <c r="I69" s="34">
        <v>46258.0</v>
      </c>
      <c r="J69" s="28">
        <f t="shared" si="1"/>
        <v>8</v>
      </c>
      <c r="K69" s="35" t="str">
        <f t="shared" si="2"/>
        <v>lunes</v>
      </c>
      <c r="L69" s="36"/>
    </row>
    <row r="70" ht="19.5" customHeight="1">
      <c r="A70" s="28">
        <v>32.0</v>
      </c>
      <c r="B70" s="29" t="s">
        <v>15</v>
      </c>
      <c r="C70" s="30" t="s">
        <v>96</v>
      </c>
      <c r="D70" s="31" t="s">
        <v>97</v>
      </c>
      <c r="E70" s="32">
        <v>41276.0</v>
      </c>
      <c r="F70" s="29" t="s">
        <v>98</v>
      </c>
      <c r="G70" s="33" t="s">
        <v>19</v>
      </c>
      <c r="H70" s="34">
        <v>46373.0</v>
      </c>
      <c r="I70" s="34">
        <v>46387.0</v>
      </c>
      <c r="J70" s="28">
        <f t="shared" si="1"/>
        <v>15</v>
      </c>
      <c r="K70" s="35" t="str">
        <f t="shared" si="2"/>
        <v>jueves</v>
      </c>
      <c r="L70" s="36"/>
    </row>
    <row r="71" ht="19.5" customHeight="1">
      <c r="A71" s="9">
        <v>33.0</v>
      </c>
      <c r="B71" s="10" t="s">
        <v>15</v>
      </c>
      <c r="C71" s="11" t="s">
        <v>100</v>
      </c>
      <c r="D71" s="12" t="s">
        <v>101</v>
      </c>
      <c r="E71" s="13">
        <v>41229.0</v>
      </c>
      <c r="F71" s="10" t="s">
        <v>22</v>
      </c>
      <c r="G71" s="14" t="s">
        <v>19</v>
      </c>
      <c r="H71" s="15">
        <v>46055.0</v>
      </c>
      <c r="I71" s="15">
        <v>46084.0</v>
      </c>
      <c r="J71" s="9">
        <f t="shared" si="1"/>
        <v>30</v>
      </c>
      <c r="K71" s="16" t="str">
        <f t="shared" si="2"/>
        <v>martes</v>
      </c>
      <c r="L71" s="17"/>
    </row>
    <row r="72" ht="19.5" customHeight="1">
      <c r="A72" s="28">
        <v>34.0</v>
      </c>
      <c r="B72" s="29" t="s">
        <v>15</v>
      </c>
      <c r="C72" s="30" t="s">
        <v>102</v>
      </c>
      <c r="D72" s="31" t="s">
        <v>103</v>
      </c>
      <c r="E72" s="32">
        <v>45118.0</v>
      </c>
      <c r="F72" s="29" t="s">
        <v>18</v>
      </c>
      <c r="G72" s="33" t="s">
        <v>19</v>
      </c>
      <c r="H72" s="34">
        <v>46215.0</v>
      </c>
      <c r="I72" s="34">
        <v>46244.0</v>
      </c>
      <c r="J72" s="28">
        <f t="shared" si="1"/>
        <v>30</v>
      </c>
      <c r="K72" s="35" t="str">
        <f t="shared" si="2"/>
        <v>lunes</v>
      </c>
      <c r="L72" s="36"/>
    </row>
    <row r="73" ht="19.5" customHeight="1">
      <c r="A73" s="9">
        <v>35.0</v>
      </c>
      <c r="B73" s="10" t="s">
        <v>15</v>
      </c>
      <c r="C73" s="11" t="s">
        <v>104</v>
      </c>
      <c r="D73" s="12" t="s">
        <v>105</v>
      </c>
      <c r="E73" s="13">
        <v>45357.0</v>
      </c>
      <c r="F73" s="10" t="s">
        <v>18</v>
      </c>
      <c r="G73" s="14" t="s">
        <v>19</v>
      </c>
      <c r="H73" s="15">
        <v>46013.0</v>
      </c>
      <c r="I73" s="15">
        <v>46027.0</v>
      </c>
      <c r="J73" s="9">
        <f t="shared" si="1"/>
        <v>15</v>
      </c>
      <c r="K73" s="16" t="str">
        <f t="shared" si="2"/>
        <v>lunes</v>
      </c>
      <c r="L73" s="17"/>
    </row>
    <row r="74" ht="19.5" customHeight="1">
      <c r="A74" s="9">
        <v>35.0</v>
      </c>
      <c r="B74" s="10" t="s">
        <v>15</v>
      </c>
      <c r="C74" s="11" t="s">
        <v>104</v>
      </c>
      <c r="D74" s="12" t="s">
        <v>105</v>
      </c>
      <c r="E74" s="13">
        <v>45357.0</v>
      </c>
      <c r="F74" s="10" t="s">
        <v>18</v>
      </c>
      <c r="G74" s="14" t="s">
        <v>19</v>
      </c>
      <c r="H74" s="15">
        <v>46069.0</v>
      </c>
      <c r="I74" s="15">
        <v>46075.0</v>
      </c>
      <c r="J74" s="9">
        <f t="shared" si="1"/>
        <v>7</v>
      </c>
      <c r="K74" s="16" t="str">
        <f t="shared" si="2"/>
        <v>domingo</v>
      </c>
      <c r="L74" s="17"/>
    </row>
    <row r="75" ht="19.5" customHeight="1">
      <c r="A75" s="9">
        <v>35.0</v>
      </c>
      <c r="B75" s="10" t="s">
        <v>15</v>
      </c>
      <c r="C75" s="11" t="s">
        <v>104</v>
      </c>
      <c r="D75" s="12" t="s">
        <v>105</v>
      </c>
      <c r="E75" s="13">
        <v>45357.0</v>
      </c>
      <c r="F75" s="10" t="s">
        <v>18</v>
      </c>
      <c r="G75" s="14" t="s">
        <v>19</v>
      </c>
      <c r="H75" s="15">
        <v>46266.0</v>
      </c>
      <c r="I75" s="15">
        <v>46273.0</v>
      </c>
      <c r="J75" s="9">
        <f t="shared" si="1"/>
        <v>8</v>
      </c>
      <c r="K75" s="16" t="str">
        <f t="shared" si="2"/>
        <v>martes</v>
      </c>
      <c r="L75" s="17"/>
    </row>
    <row r="76" ht="19.5" customHeight="1">
      <c r="A76" s="28">
        <v>36.0</v>
      </c>
      <c r="B76" s="29" t="s">
        <v>15</v>
      </c>
      <c r="C76" s="30" t="s">
        <v>106</v>
      </c>
      <c r="D76" s="31" t="s">
        <v>107</v>
      </c>
      <c r="E76" s="32">
        <v>45566.0</v>
      </c>
      <c r="F76" s="29" t="s">
        <v>39</v>
      </c>
      <c r="G76" s="33" t="s">
        <v>19</v>
      </c>
      <c r="H76" s="34">
        <v>46013.0</v>
      </c>
      <c r="I76" s="34">
        <v>46042.0</v>
      </c>
      <c r="J76" s="28">
        <f t="shared" si="1"/>
        <v>30</v>
      </c>
      <c r="K76" s="35" t="str">
        <f t="shared" si="2"/>
        <v>martes</v>
      </c>
      <c r="L76" s="36"/>
    </row>
    <row r="77" ht="19.5" customHeight="1">
      <c r="A77" s="9">
        <v>37.0</v>
      </c>
      <c r="B77" s="10" t="s">
        <v>15</v>
      </c>
      <c r="C77" s="11" t="s">
        <v>108</v>
      </c>
      <c r="D77" s="12" t="s">
        <v>109</v>
      </c>
      <c r="E77" s="13">
        <v>45155.0</v>
      </c>
      <c r="F77" s="10" t="s">
        <v>18</v>
      </c>
      <c r="G77" s="14" t="s">
        <v>19</v>
      </c>
      <c r="H77" s="15">
        <v>46252.0</v>
      </c>
      <c r="I77" s="15">
        <v>46281.0</v>
      </c>
      <c r="J77" s="9">
        <f t="shared" si="1"/>
        <v>30</v>
      </c>
      <c r="K77" s="16" t="str">
        <f t="shared" si="2"/>
        <v>miércoles</v>
      </c>
      <c r="L77" s="17"/>
    </row>
    <row r="78" ht="19.5" customHeight="1">
      <c r="A78" s="28">
        <v>38.0</v>
      </c>
      <c r="B78" s="83" t="s">
        <v>15</v>
      </c>
      <c r="C78" s="84" t="s">
        <v>110</v>
      </c>
      <c r="D78" s="85" t="s">
        <v>111</v>
      </c>
      <c r="E78" s="77">
        <v>41122.0</v>
      </c>
      <c r="F78" s="83" t="s">
        <v>18</v>
      </c>
      <c r="G78" s="86" t="s">
        <v>19</v>
      </c>
      <c r="H78" s="34">
        <v>46307.0</v>
      </c>
      <c r="I78" s="34">
        <v>46313.0</v>
      </c>
      <c r="J78" s="28">
        <f t="shared" si="1"/>
        <v>7</v>
      </c>
      <c r="K78" s="35" t="str">
        <f t="shared" si="2"/>
        <v>domingo</v>
      </c>
      <c r="L78" s="36"/>
    </row>
    <row r="79" ht="19.5" customHeight="1">
      <c r="A79" s="28">
        <v>38.0</v>
      </c>
      <c r="B79" s="29" t="s">
        <v>15</v>
      </c>
      <c r="C79" s="30" t="s">
        <v>110</v>
      </c>
      <c r="D79" s="31" t="s">
        <v>111</v>
      </c>
      <c r="E79" s="32">
        <v>41122.0</v>
      </c>
      <c r="F79" s="29" t="s">
        <v>18</v>
      </c>
      <c r="G79" s="33" t="s">
        <v>19</v>
      </c>
      <c r="H79" s="34">
        <v>46386.0</v>
      </c>
      <c r="I79" s="34">
        <v>46408.0</v>
      </c>
      <c r="J79" s="28">
        <f t="shared" si="1"/>
        <v>23</v>
      </c>
      <c r="K79" s="35" t="str">
        <f t="shared" si="2"/>
        <v>jueves</v>
      </c>
      <c r="L79" s="36"/>
    </row>
    <row r="80" ht="19.5" customHeight="1">
      <c r="A80" s="87">
        <v>39.0</v>
      </c>
      <c r="B80" s="88" t="s">
        <v>15</v>
      </c>
      <c r="C80" s="89" t="s">
        <v>112</v>
      </c>
      <c r="D80" s="90" t="s">
        <v>113</v>
      </c>
      <c r="E80" s="91">
        <v>43374.0</v>
      </c>
      <c r="F80" s="88" t="s">
        <v>114</v>
      </c>
      <c r="G80" s="92" t="s">
        <v>19</v>
      </c>
      <c r="H80" s="93">
        <v>46057.0</v>
      </c>
      <c r="I80" s="93">
        <v>46061.0</v>
      </c>
      <c r="J80" s="87">
        <f t="shared" si="1"/>
        <v>5</v>
      </c>
      <c r="K80" s="94" t="str">
        <f t="shared" si="2"/>
        <v>domingo</v>
      </c>
      <c r="L80" s="95" t="s">
        <v>99</v>
      </c>
    </row>
    <row r="81" ht="19.5" customHeight="1">
      <c r="A81" s="87">
        <v>39.0</v>
      </c>
      <c r="B81" s="88" t="s">
        <v>15</v>
      </c>
      <c r="C81" s="89" t="s">
        <v>112</v>
      </c>
      <c r="D81" s="90" t="s">
        <v>113</v>
      </c>
      <c r="E81" s="91">
        <v>43374.0</v>
      </c>
      <c r="F81" s="88" t="s">
        <v>114</v>
      </c>
      <c r="G81" s="92" t="s">
        <v>19</v>
      </c>
      <c r="H81" s="93">
        <v>46303.0</v>
      </c>
      <c r="I81" s="93">
        <v>46327.0</v>
      </c>
      <c r="J81" s="87">
        <f t="shared" si="1"/>
        <v>25</v>
      </c>
      <c r="K81" s="94" t="str">
        <f t="shared" si="2"/>
        <v>domingo</v>
      </c>
      <c r="L81" s="96"/>
    </row>
    <row r="82" ht="19.5" customHeight="1">
      <c r="A82" s="28">
        <v>40.0</v>
      </c>
      <c r="B82" s="29" t="s">
        <v>15</v>
      </c>
      <c r="C82" s="30" t="s">
        <v>112</v>
      </c>
      <c r="D82" s="31" t="s">
        <v>115</v>
      </c>
      <c r="E82" s="32">
        <v>42027.0</v>
      </c>
      <c r="F82" s="29" t="s">
        <v>18</v>
      </c>
      <c r="G82" s="33" t="s">
        <v>19</v>
      </c>
      <c r="H82" s="34">
        <v>46097.0</v>
      </c>
      <c r="I82" s="34">
        <v>46103.0</v>
      </c>
      <c r="J82" s="28">
        <f t="shared" si="1"/>
        <v>7</v>
      </c>
      <c r="K82" s="35" t="str">
        <f t="shared" si="2"/>
        <v>domingo</v>
      </c>
      <c r="L82" s="50" t="s">
        <v>30</v>
      </c>
    </row>
    <row r="83" ht="19.5" customHeight="1">
      <c r="A83" s="28">
        <v>40.0</v>
      </c>
      <c r="B83" s="29" t="s">
        <v>15</v>
      </c>
      <c r="C83" s="30" t="s">
        <v>112</v>
      </c>
      <c r="D83" s="31" t="s">
        <v>115</v>
      </c>
      <c r="E83" s="32">
        <v>42027.0</v>
      </c>
      <c r="F83" s="29" t="s">
        <v>18</v>
      </c>
      <c r="G83" s="33" t="s">
        <v>19</v>
      </c>
      <c r="H83" s="34">
        <v>46146.0</v>
      </c>
      <c r="I83" s="34">
        <v>46152.0</v>
      </c>
      <c r="J83" s="28">
        <f t="shared" si="1"/>
        <v>7</v>
      </c>
      <c r="K83" s="35" t="str">
        <f t="shared" si="2"/>
        <v>domingo</v>
      </c>
      <c r="L83" s="50" t="s">
        <v>30</v>
      </c>
    </row>
    <row r="84" ht="19.5" customHeight="1">
      <c r="A84" s="28">
        <v>40.0</v>
      </c>
      <c r="B84" s="29" t="s">
        <v>15</v>
      </c>
      <c r="C84" s="30" t="s">
        <v>112</v>
      </c>
      <c r="D84" s="31" t="s">
        <v>115</v>
      </c>
      <c r="E84" s="32">
        <v>42027.0</v>
      </c>
      <c r="F84" s="29" t="s">
        <v>18</v>
      </c>
      <c r="G84" s="33" t="s">
        <v>19</v>
      </c>
      <c r="H84" s="34">
        <v>46203.0</v>
      </c>
      <c r="I84" s="34">
        <v>46211.0</v>
      </c>
      <c r="J84" s="28">
        <f t="shared" si="1"/>
        <v>9</v>
      </c>
      <c r="K84" s="35" t="str">
        <f t="shared" si="2"/>
        <v>miércoles</v>
      </c>
      <c r="L84" s="50" t="s">
        <v>30</v>
      </c>
    </row>
    <row r="85" ht="19.5" customHeight="1">
      <c r="A85" s="28">
        <v>40.0</v>
      </c>
      <c r="B85" s="29" t="s">
        <v>15</v>
      </c>
      <c r="C85" s="30" t="s">
        <v>112</v>
      </c>
      <c r="D85" s="31" t="s">
        <v>115</v>
      </c>
      <c r="E85" s="32">
        <v>42027.0</v>
      </c>
      <c r="F85" s="29" t="s">
        <v>18</v>
      </c>
      <c r="G85" s="33" t="s">
        <v>19</v>
      </c>
      <c r="H85" s="34">
        <v>46233.0</v>
      </c>
      <c r="I85" s="34">
        <v>46239.0</v>
      </c>
      <c r="J85" s="28">
        <f t="shared" si="1"/>
        <v>7</v>
      </c>
      <c r="K85" s="35" t="str">
        <f t="shared" si="2"/>
        <v>miércoles</v>
      </c>
      <c r="L85" s="50" t="s">
        <v>30</v>
      </c>
    </row>
    <row r="86" ht="19.5" customHeight="1">
      <c r="A86" s="18">
        <v>41.0</v>
      </c>
      <c r="B86" s="19" t="s">
        <v>15</v>
      </c>
      <c r="C86" s="20" t="s">
        <v>116</v>
      </c>
      <c r="D86" s="21" t="s">
        <v>117</v>
      </c>
      <c r="E86" s="22">
        <v>42326.0</v>
      </c>
      <c r="F86" s="19" t="s">
        <v>118</v>
      </c>
      <c r="G86" s="23" t="s">
        <v>19</v>
      </c>
      <c r="H86" s="24">
        <v>46055.0</v>
      </c>
      <c r="I86" s="24">
        <v>46064.0</v>
      </c>
      <c r="J86" s="18">
        <f t="shared" si="1"/>
        <v>10</v>
      </c>
      <c r="K86" s="25" t="str">
        <f t="shared" si="2"/>
        <v>miércoles</v>
      </c>
      <c r="L86" s="26" t="s">
        <v>30</v>
      </c>
    </row>
    <row r="87" ht="19.5" customHeight="1">
      <c r="A87" s="18">
        <v>41.0</v>
      </c>
      <c r="B87" s="19" t="s">
        <v>15</v>
      </c>
      <c r="C87" s="20" t="s">
        <v>116</v>
      </c>
      <c r="D87" s="21" t="s">
        <v>117</v>
      </c>
      <c r="E87" s="22">
        <v>42326.0</v>
      </c>
      <c r="F87" s="19" t="s">
        <v>118</v>
      </c>
      <c r="G87" s="23" t="s">
        <v>19</v>
      </c>
      <c r="H87" s="24">
        <v>46168.0</v>
      </c>
      <c r="I87" s="24">
        <v>46177.0</v>
      </c>
      <c r="J87" s="18">
        <f t="shared" si="1"/>
        <v>10</v>
      </c>
      <c r="K87" s="25" t="str">
        <f t="shared" si="2"/>
        <v>jueves</v>
      </c>
      <c r="L87" s="26" t="s">
        <v>30</v>
      </c>
    </row>
    <row r="88" ht="19.5" customHeight="1">
      <c r="A88" s="18">
        <v>41.0</v>
      </c>
      <c r="B88" s="19" t="s">
        <v>15</v>
      </c>
      <c r="C88" s="20" t="s">
        <v>116</v>
      </c>
      <c r="D88" s="21" t="s">
        <v>117</v>
      </c>
      <c r="E88" s="22">
        <v>42326.0</v>
      </c>
      <c r="F88" s="19" t="s">
        <v>118</v>
      </c>
      <c r="G88" s="23" t="s">
        <v>19</v>
      </c>
      <c r="H88" s="24">
        <v>46237.0</v>
      </c>
      <c r="I88" s="24">
        <v>46246.0</v>
      </c>
      <c r="J88" s="18">
        <f t="shared" si="1"/>
        <v>10</v>
      </c>
      <c r="K88" s="25" t="str">
        <f t="shared" si="2"/>
        <v>miércoles</v>
      </c>
      <c r="L88" s="26" t="s">
        <v>30</v>
      </c>
    </row>
    <row r="89" ht="19.5" customHeight="1">
      <c r="A89" s="28">
        <v>42.0</v>
      </c>
      <c r="B89" s="29" t="s">
        <v>15</v>
      </c>
      <c r="C89" s="30" t="s">
        <v>119</v>
      </c>
      <c r="D89" s="31" t="s">
        <v>120</v>
      </c>
      <c r="E89" s="32">
        <v>41883.0</v>
      </c>
      <c r="F89" s="29" t="s">
        <v>22</v>
      </c>
      <c r="G89" s="33" t="s">
        <v>19</v>
      </c>
      <c r="H89" s="34">
        <v>46266.0</v>
      </c>
      <c r="I89" s="34">
        <v>46280.0</v>
      </c>
      <c r="J89" s="28">
        <f t="shared" si="1"/>
        <v>15</v>
      </c>
      <c r="K89" s="35" t="str">
        <f t="shared" si="2"/>
        <v>martes</v>
      </c>
      <c r="L89" s="36"/>
    </row>
    <row r="90" ht="19.5" customHeight="1">
      <c r="A90" s="86">
        <v>42.0</v>
      </c>
      <c r="B90" s="29" t="s">
        <v>15</v>
      </c>
      <c r="C90" s="30" t="s">
        <v>119</v>
      </c>
      <c r="D90" s="31" t="s">
        <v>120</v>
      </c>
      <c r="E90" s="32">
        <v>41883.0</v>
      </c>
      <c r="F90" s="29" t="s">
        <v>22</v>
      </c>
      <c r="G90" s="33" t="s">
        <v>19</v>
      </c>
      <c r="H90" s="34">
        <v>46373.0</v>
      </c>
      <c r="I90" s="34">
        <v>46387.0</v>
      </c>
      <c r="J90" s="28">
        <f t="shared" si="1"/>
        <v>15</v>
      </c>
      <c r="K90" s="35" t="str">
        <f t="shared" si="2"/>
        <v>jueves</v>
      </c>
      <c r="L90" s="36"/>
    </row>
    <row r="91" ht="19.5" customHeight="1">
      <c r="A91" s="9">
        <v>43.0</v>
      </c>
      <c r="B91" s="10" t="s">
        <v>15</v>
      </c>
      <c r="C91" s="11" t="s">
        <v>121</v>
      </c>
      <c r="D91" s="12" t="s">
        <v>122</v>
      </c>
      <c r="E91" s="13">
        <v>44608.0</v>
      </c>
      <c r="F91" s="10" t="s">
        <v>18</v>
      </c>
      <c r="G91" s="14" t="s">
        <v>19</v>
      </c>
      <c r="H91" s="15">
        <v>46097.0</v>
      </c>
      <c r="I91" s="15">
        <v>46111.0</v>
      </c>
      <c r="J91" s="9">
        <f t="shared" si="1"/>
        <v>15</v>
      </c>
      <c r="K91" s="16" t="str">
        <f t="shared" si="2"/>
        <v>lunes</v>
      </c>
      <c r="L91" s="17"/>
    </row>
    <row r="92" ht="19.5" customHeight="1">
      <c r="A92" s="49">
        <v>43.0</v>
      </c>
      <c r="B92" s="10" t="s">
        <v>15</v>
      </c>
      <c r="C92" s="11" t="s">
        <v>123</v>
      </c>
      <c r="D92" s="12" t="s">
        <v>122</v>
      </c>
      <c r="E92" s="13">
        <v>44609.0</v>
      </c>
      <c r="F92" s="10" t="s">
        <v>18</v>
      </c>
      <c r="G92" s="49" t="s">
        <v>19</v>
      </c>
      <c r="H92" s="15">
        <v>46378.0</v>
      </c>
      <c r="I92" s="15">
        <v>46392.0</v>
      </c>
      <c r="J92" s="9">
        <f t="shared" si="1"/>
        <v>15</v>
      </c>
      <c r="K92" s="16" t="str">
        <f t="shared" si="2"/>
        <v>martes</v>
      </c>
      <c r="L92" s="17"/>
    </row>
    <row r="93" ht="19.5" customHeight="1">
      <c r="A93" s="28">
        <v>44.0</v>
      </c>
      <c r="B93" s="29" t="s">
        <v>15</v>
      </c>
      <c r="C93" s="30" t="s">
        <v>124</v>
      </c>
      <c r="D93" s="31" t="s">
        <v>125</v>
      </c>
      <c r="E93" s="32">
        <v>41229.0</v>
      </c>
      <c r="F93" s="29" t="s">
        <v>18</v>
      </c>
      <c r="G93" s="33" t="s">
        <v>19</v>
      </c>
      <c r="H93" s="34">
        <v>46027.0</v>
      </c>
      <c r="I93" s="34">
        <v>46056.0</v>
      </c>
      <c r="J93" s="28">
        <f t="shared" si="1"/>
        <v>30</v>
      </c>
      <c r="K93" s="35" t="str">
        <f t="shared" si="2"/>
        <v>martes</v>
      </c>
      <c r="L93" s="50" t="s">
        <v>36</v>
      </c>
    </row>
    <row r="94" ht="16.5" customHeight="1">
      <c r="A94" s="1"/>
      <c r="B94" s="1"/>
      <c r="C94" s="97"/>
      <c r="D94" s="1"/>
      <c r="E94" s="1"/>
      <c r="F94" s="1"/>
      <c r="G94" s="1"/>
      <c r="H94" s="1"/>
      <c r="I94" s="1"/>
      <c r="J94" s="1"/>
      <c r="K94" s="1"/>
      <c r="L94" s="1"/>
    </row>
    <row r="95" ht="16.5" customHeight="1">
      <c r="A95" s="1"/>
      <c r="B95" s="1"/>
      <c r="C95" s="97"/>
      <c r="D95" s="1"/>
      <c r="E95" s="1"/>
      <c r="F95" s="1"/>
      <c r="G95" s="1"/>
      <c r="H95" s="1"/>
      <c r="I95" s="1"/>
      <c r="J95" s="1"/>
      <c r="K95" s="1"/>
      <c r="L95" s="1"/>
    </row>
    <row r="96" ht="16.5" customHeight="1">
      <c r="A96" s="1"/>
      <c r="B96" s="1"/>
      <c r="C96" s="97"/>
      <c r="D96" s="1"/>
      <c r="E96" s="1"/>
      <c r="F96" s="1"/>
      <c r="G96" s="1"/>
      <c r="H96" s="1"/>
      <c r="I96" s="1"/>
      <c r="J96" s="1"/>
      <c r="K96" s="1"/>
      <c r="L96" s="1"/>
    </row>
  </sheetData>
  <mergeCells count="3">
    <mergeCell ref="B1:I1"/>
    <mergeCell ref="A2:K2"/>
    <mergeCell ref="A4:K4"/>
  </mergeCells>
  <conditionalFormatting sqref="J7:J93 K55">
    <cfRule type="cellIs" dxfId="5" priority="1" operator="lessThan">
      <formula>7</formula>
    </cfRule>
  </conditionalFormatting>
  <conditionalFormatting sqref="K5:L93">
    <cfRule type="cellIs" dxfId="5" priority="2" operator="equal">
      <formula>"sábado"</formula>
    </cfRule>
  </conditionalFormatting>
  <conditionalFormatting sqref="K5:L93">
    <cfRule type="cellIs" dxfId="5" priority="3" operator="equal">
      <formula>"viernes"</formula>
    </cfRule>
  </conditionalFormatting>
  <conditionalFormatting sqref="A7:L93">
    <cfRule type="expression" dxfId="6" priority="4">
      <formula>ROW()=CELL("fila")</formula>
    </cfRule>
  </conditionalFormatting>
  <dataValidations>
    <dataValidation type="custom" allowBlank="1" showDropDown="1" sqref="E7:E93">
      <formula1>OR(NOT(ISERROR(DATEVALUE(E7))), AND(ISNUMBER(E7), LEFT(CELL("format", E7))="D"))</formula1>
    </dataValidation>
  </dataValidations>
  <printOptions/>
  <pageMargins bottom="0.7480314960629921" footer="0.0" header="0.0" left="0.7086614173228347" right="0.7086614173228347" top="0.7480314960629921"/>
  <pageSetup fitToHeight="0" paperSize="9" orientation="landscape"/>
  <drawing r:id="rId4"/>
  <legacyDrawing r:id="rId5"/>
  <tableParts count="1">
    <tablePart r:id="rId7"/>
  </tableParts>
</worksheet>
</file>