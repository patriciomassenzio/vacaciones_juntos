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AB" sheetId="1" r:id="rId5"/>
    <sheet state="visible" name="EJECUTADO" sheetId="2" r:id="rId6"/>
  </sheets>
  <definedNames>
    <definedName hidden="1" localSheetId="0" name="_xlnm._FilterDatabase">UTAB!$A$7:$L$122</definedName>
    <definedName hidden="1" localSheetId="1" name="_xlnm._FilterDatabase">EJECUTADO!$A$7:$L$113</definedName>
  </definedNames>
  <calcPr/>
</workbook>
</file>

<file path=xl/sharedStrings.xml><?xml version="1.0" encoding="utf-8"?>
<sst xmlns="http://schemas.openxmlformats.org/spreadsheetml/2006/main" count="632" uniqueCount="138">
  <si>
    <t>ROL DE VACACIONES DE LOS SERVIDORES DEL PROGRAMA JUNTOS PARA EL AÑO 2025</t>
  </si>
  <si>
    <t>ANEXO N° 02 - UNIDAD TERRITORIAL AMAZONAS BAGUA</t>
  </si>
  <si>
    <t xml:space="preserve">Nota: 
1.- Toda programación  completa o fraccionada que culmine en día viernes deberá computar el sábado y domingo continuo (no puede culminar en día viernes o sábado).
2.- No se considerarán programaciones de días hábiles, debido a que estan sujetos a la suscripción previa del acuerdo entre empleado y empleador. </t>
  </si>
  <si>
    <t>N°</t>
  </si>
  <si>
    <t>UNIDAD TERRITORIAL</t>
  </si>
  <si>
    <t>DNI</t>
  </si>
  <si>
    <t>APELLIDOS Y NOMBRES</t>
  </si>
  <si>
    <t>FECHA DE INGRESO</t>
  </si>
  <si>
    <t>CARGO</t>
  </si>
  <si>
    <t xml:space="preserve">PERIODO VACACIONAL </t>
  </si>
  <si>
    <t>DESDE</t>
  </si>
  <si>
    <t>HASTA</t>
  </si>
  <si>
    <t>TOTAL DIAS</t>
  </si>
  <si>
    <t>ULTIMO DÍA</t>
  </si>
  <si>
    <t>OBSERVACIÓN</t>
  </si>
  <si>
    <t>UT AMAZONAS BAGUA</t>
  </si>
  <si>
    <t>70080622</t>
  </si>
  <si>
    <t>ACHA GUERRERO DAVID DENISS</t>
  </si>
  <si>
    <t>GESTOR LOCAL</t>
  </si>
  <si>
    <t>2024-2025</t>
  </si>
  <si>
    <t>2024-2026</t>
  </si>
  <si>
    <t>2 REPROGRAMACIÓN</t>
  </si>
  <si>
    <t>08570047</t>
  </si>
  <si>
    <t>AGUEDO CARBAJAL HUGO WILLIAM</t>
  </si>
  <si>
    <t>COORDINADOR TÉCNICO ZONAL</t>
  </si>
  <si>
    <t>47014600</t>
  </si>
  <si>
    <t>BERNILLA SANCHEZ JULIO CESAR</t>
  </si>
  <si>
    <t>33781322</t>
  </si>
  <si>
    <t>CACHAY VELA NERY MARLENITA</t>
  </si>
  <si>
    <t>3 REPROGRAMACIÓN</t>
  </si>
  <si>
    <t>44858245</t>
  </si>
  <si>
    <t>CALDERON SERVAN MILAGRITOS SOLEDAD</t>
  </si>
  <si>
    <t>33827197</t>
  </si>
  <si>
    <t>CARRANZA ALARCON ISAIAS</t>
  </si>
  <si>
    <t>18142350</t>
  </si>
  <si>
    <t>CARRASCAL CUEVA SANDRA ANGHELINA</t>
  </si>
  <si>
    <t>COMUNICADOR</t>
  </si>
  <si>
    <t>44620331</t>
  </si>
  <si>
    <t>CHAVEZ TORREJON LENER</t>
  </si>
  <si>
    <t>1 REPROGRAMADO</t>
  </si>
  <si>
    <t>47191455</t>
  </si>
  <si>
    <t>CORDOVA MARTINEZ DIANA CAROLINA</t>
  </si>
  <si>
    <t>GESTOR LOCAL - ZONA ALEJADA</t>
  </si>
  <si>
    <t>1 REPROGRAMACIÓN</t>
  </si>
  <si>
    <t>46826581</t>
  </si>
  <si>
    <t>CORDOVA ROSALES VICTOR BERTIN</t>
  </si>
  <si>
    <t>46282107</t>
  </si>
  <si>
    <t>CUEVA ALVAREZ RUTH YESSENIA</t>
  </si>
  <si>
    <t>TECNICO DE ORIENTACION Y ATENCION AL USUARIO</t>
  </si>
  <si>
    <t>43209768</t>
  </si>
  <si>
    <t>DAVILA BRAVO LIZ MARICLER</t>
  </si>
  <si>
    <t>43209769</t>
  </si>
  <si>
    <t>43209770</t>
  </si>
  <si>
    <t>45021141</t>
  </si>
  <si>
    <t>DELGADO CASTAÑEDA EDWIN ROY</t>
  </si>
  <si>
    <t>GESTOR DE INFORMACIÓN</t>
  </si>
  <si>
    <t>48273365</t>
  </si>
  <si>
    <t>EPIQUIEN TORREJON NESTOR CLAUMER</t>
  </si>
  <si>
    <t>FALTA PROGRAMAR</t>
  </si>
  <si>
    <t>33761726</t>
  </si>
  <si>
    <t>ESPEJO SECUTA DAVID</t>
  </si>
  <si>
    <t>42966029</t>
  </si>
  <si>
    <t>FERNANDEZ SANCHEZ VICTOR RAUL</t>
  </si>
  <si>
    <t>FRACCIONAMIENTO</t>
  </si>
  <si>
    <t>44684018</t>
  </si>
  <si>
    <t>GOMEZ VELAYSOSA ELFERES</t>
  </si>
  <si>
    <t>60355224</t>
  </si>
  <si>
    <t>GONZALES QUINTANA KELLY MELISSA</t>
  </si>
  <si>
    <t>ASISTENTE ADMINISTRATIVO</t>
  </si>
  <si>
    <t>2024-2024</t>
  </si>
  <si>
    <t>60355225</t>
  </si>
  <si>
    <t>70087004</t>
  </si>
  <si>
    <t>GUERRERO RIOJAS HARWIN EDUARDO</t>
  </si>
  <si>
    <t>42001203</t>
  </si>
  <si>
    <t>GUEVARA GARCIA YULI ELIZABETH</t>
  </si>
  <si>
    <t>45328152</t>
  </si>
  <si>
    <t>GUEVARA GUEVARA FRANCO NAPOLEON</t>
  </si>
  <si>
    <t>46358139</t>
  </si>
  <si>
    <t>HUAMAN SOROE MILAGROS</t>
  </si>
  <si>
    <t>46091093</t>
  </si>
  <si>
    <t>JIMENEZ RODRIGUEZ OMAR ALEJANDRO</t>
  </si>
  <si>
    <t>LOS DÍAS DE LA LSG SE TOMARAN DEL PERIODO 2025-2026</t>
  </si>
  <si>
    <t>REPROGRAMACIÓN</t>
  </si>
  <si>
    <t>72097663</t>
  </si>
  <si>
    <t>LAZO VALQUI ROSITA</t>
  </si>
  <si>
    <t>46402465</t>
  </si>
  <si>
    <t>LEON CAMPOS WILLAN DAVID</t>
  </si>
  <si>
    <t>33586223</t>
  </si>
  <si>
    <t>LOZANO HERNANDEZ MARINA</t>
  </si>
  <si>
    <t>42246417</t>
  </si>
  <si>
    <t>MERA TORRES ALELI</t>
  </si>
  <si>
    <t>41395226</t>
  </si>
  <si>
    <t>MONSALVE SANDOVAL MARIA LASTENIA</t>
  </si>
  <si>
    <t>48410041</t>
  </si>
  <si>
    <t>MONTEZA ROJAS ITAMAR</t>
  </si>
  <si>
    <t>43457207</t>
  </si>
  <si>
    <t>NAVARRO DIAZ LUIS ALBERTO</t>
  </si>
  <si>
    <t>ADMINISTRADOR</t>
  </si>
  <si>
    <t>43457208</t>
  </si>
  <si>
    <t>73141657</t>
  </si>
  <si>
    <t>PALACIOS TORRES EVELYN LIZETH</t>
  </si>
  <si>
    <t>ASISTENTE DE ARCHIVO</t>
  </si>
  <si>
    <t>45460382</t>
  </si>
  <si>
    <t>RODRIGUEZ COLLANTES MILTON CESAR</t>
  </si>
  <si>
    <t xml:space="preserve">  </t>
  </si>
  <si>
    <t>45961246</t>
  </si>
  <si>
    <t>ROJAS SOPLIN EULER</t>
  </si>
  <si>
    <t>33432747</t>
  </si>
  <si>
    <t>SALAZAR SANTOS ANGEL GUSTAVO</t>
  </si>
  <si>
    <t>CHOFER PARA  SEDE REGIONAL</t>
  </si>
  <si>
    <t>26620699</t>
  </si>
  <si>
    <t>SANCHEZ SANCHEZ JOSE LUIS</t>
  </si>
  <si>
    <t>77531759</t>
  </si>
  <si>
    <t>SANTOS SOLANO ROXANA</t>
  </si>
  <si>
    <t>33589658</t>
  </si>
  <si>
    <t>SILVA BRAVO ROSARIO</t>
  </si>
  <si>
    <t>72498313</t>
  </si>
  <si>
    <t>TERRONES CHAVEZ JORGE ISAIAS</t>
  </si>
  <si>
    <t>72498314</t>
  </si>
  <si>
    <t>33431092</t>
  </si>
  <si>
    <t>TUESTA SERVAN HAYCELA MIRIAM</t>
  </si>
  <si>
    <t>16461336</t>
  </si>
  <si>
    <t>VALENCIA ALCANTARA FRANKLIN EDGAR</t>
  </si>
  <si>
    <t>APOYO EN GESTIÓN ADMINISTRATIVA</t>
  </si>
  <si>
    <t>16461337</t>
  </si>
  <si>
    <t>44613215</t>
  </si>
  <si>
    <t>VASQUEZ PAISIG EDWIN RAMIRO</t>
  </si>
  <si>
    <t>41650274</t>
  </si>
  <si>
    <t>VILLALOBOS BELLODAS CARLOS EDISON</t>
  </si>
  <si>
    <t>COORDINADOR TÉCNICO TERRITORIAL</t>
  </si>
  <si>
    <t>42014736</t>
  </si>
  <si>
    <t>ZAMORA LOJA JUAN ALBERTO</t>
  </si>
  <si>
    <t>46721282</t>
  </si>
  <si>
    <t>ZAPATA DIAZ MANUEL FRANCISCO</t>
  </si>
  <si>
    <t>41366303</t>
  </si>
  <si>
    <t>ZELADA TORRES RIVELINO</t>
  </si>
  <si>
    <t>REVISAR</t>
  </si>
  <si>
    <t>EJECUCION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</si>
</sst>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13">
    <font>
      <sz val="11.0"/>
      <color theme="1"/>
      <name val="Calibri"/>
      <scheme val="minor"/>
    </font>
    <font>
      <sz val="11.0"/>
      <color theme="1"/>
      <name val="Arial Narrow"/>
    </font>
    <font>
      <b/>
      <i/>
      <u/>
      <sz val="12.0"/>
      <color rgb="FFA5A5A5"/>
      <name val="Arial Narrow"/>
    </font>
    <font>
      <b/>
      <sz val="18.0"/>
      <color theme="1"/>
      <name val="Arial Narrow"/>
    </font>
    <font>
      <b/>
      <sz val="10.0"/>
      <color rgb="FFFF0000"/>
      <name val="Arial Narrow"/>
    </font>
    <font>
      <b/>
      <sz val="11.0"/>
      <color theme="1"/>
      <name val="Arial Narrow"/>
    </font>
    <font>
      <sz val="10.0"/>
      <color theme="1"/>
      <name val="Arial Narrow"/>
    </font>
    <font>
      <sz val="10.0"/>
      <color rgb="FF000000"/>
      <name val="Arial Narrow"/>
    </font>
    <font>
      <sz val="11.0"/>
      <color rgb="FFFF0000"/>
      <name val="Arial Narrow"/>
    </font>
    <font>
      <sz val="6.0"/>
      <color rgb="FFFF0000"/>
      <name val="Arial Narrow"/>
    </font>
    <font>
      <b/>
      <sz val="11.0"/>
      <color theme="0"/>
      <name val="Arial Narrow"/>
    </font>
    <font>
      <b/>
      <sz val="11.0"/>
      <color rgb="FFFFFFFF"/>
      <name val="Arial Narrow"/>
    </font>
    <font>
      <color theme="1"/>
      <name val="Calibri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00FFFF"/>
        <bgColor rgb="FF00FFFF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theme="7"/>
        <bgColor theme="7"/>
      </patternFill>
    </fill>
    <fill>
      <patternFill patternType="solid">
        <fgColor rgb="FFB4A7D6"/>
        <bgColor rgb="FFB4A7D6"/>
      </patternFill>
    </fill>
  </fills>
  <borders count="7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</border>
  </borders>
  <cellStyleXfs count="1">
    <xf borderId="0" fillId="0" fontId="0" numFmtId="0" applyAlignment="1" applyFont="1"/>
  </cellStyleXfs>
  <cellXfs count="1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shrinkToFit="0" wrapText="1"/>
    </xf>
    <xf borderId="0" fillId="0" fontId="1" numFmtId="0" xfId="0" applyFont="1"/>
    <xf borderId="0" fillId="0" fontId="2" numFmtId="0" xfId="0" applyAlignment="1" applyFont="1">
      <alignment horizontal="right" vertical="center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left" shrinkToFit="0" wrapText="1"/>
    </xf>
    <xf borderId="0" fillId="0" fontId="5" numFmtId="0" xfId="0" applyAlignment="1" applyFont="1">
      <alignment horizontal="center"/>
    </xf>
    <xf borderId="1" fillId="2" fontId="5" numFmtId="0" xfId="0" applyAlignment="1" applyBorder="1" applyFill="1" applyFont="1">
      <alignment horizontal="center" shrinkToFit="0" vertical="center" wrapText="1"/>
    </xf>
    <xf borderId="2" fillId="2" fontId="5" numFmtId="0" xfId="0" applyAlignment="1" applyBorder="1" applyFont="1">
      <alignment horizontal="center" shrinkToFit="0" vertical="center" wrapText="1"/>
    </xf>
    <xf borderId="2" fillId="2" fontId="5" numFmtId="0" xfId="0" applyAlignment="1" applyBorder="1" applyFont="1">
      <alignment horizontal="left" shrinkToFit="0" vertical="center" wrapText="1"/>
    </xf>
    <xf borderId="3" fillId="2" fontId="5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horizontal="center" readingOrder="0" shrinkToFit="0" vertical="center" wrapText="1"/>
    </xf>
    <xf borderId="4" fillId="3" fontId="6" numFmtId="0" xfId="0" applyAlignment="1" applyBorder="1" applyFill="1" applyFont="1">
      <alignment horizontal="center" shrinkToFit="0" vertical="center" wrapText="0"/>
    </xf>
    <xf borderId="4" fillId="3" fontId="6" numFmtId="49" xfId="0" applyAlignment="1" applyBorder="1" applyFont="1" applyNumberFormat="1">
      <alignment horizontal="center" shrinkToFit="0" vertical="center" wrapText="0"/>
    </xf>
    <xf borderId="4" fillId="3" fontId="6" numFmtId="0" xfId="0" applyAlignment="1" applyBorder="1" applyFont="1">
      <alignment horizontal="left" shrinkToFit="0" vertical="center" wrapText="0"/>
    </xf>
    <xf borderId="4" fillId="3" fontId="6" numFmtId="164" xfId="0" applyAlignment="1" applyBorder="1" applyFont="1" applyNumberFormat="1">
      <alignment horizontal="center" shrinkToFit="0" vertical="center" wrapText="0"/>
    </xf>
    <xf borderId="4" fillId="3" fontId="6" numFmtId="0" xfId="0" applyAlignment="1" applyBorder="1" applyFont="1">
      <alignment horizontal="left" shrinkToFit="0" vertical="center" wrapText="1"/>
    </xf>
    <xf borderId="4" fillId="3" fontId="7" numFmtId="164" xfId="0" applyAlignment="1" applyBorder="1" applyFont="1" applyNumberFormat="1">
      <alignment horizontal="center" readingOrder="0" shrinkToFit="0" vertical="center" wrapText="0"/>
    </xf>
    <xf borderId="4" fillId="3" fontId="8" numFmtId="0" xfId="0" applyAlignment="1" applyBorder="1" applyFont="1">
      <alignment horizontal="center" shrinkToFit="0" vertical="center" wrapText="0"/>
    </xf>
    <xf borderId="4" fillId="3" fontId="9" numFmtId="0" xfId="0" applyAlignment="1" applyBorder="1" applyFont="1">
      <alignment horizontal="center" readingOrder="0" shrinkToFit="0" vertical="center" wrapText="0"/>
    </xf>
    <xf borderId="4" fillId="4" fontId="6" numFmtId="0" xfId="0" applyAlignment="1" applyBorder="1" applyFill="1" applyFont="1">
      <alignment horizontal="center" shrinkToFit="0" vertical="center" wrapText="0"/>
    </xf>
    <xf borderId="4" fillId="4" fontId="6" numFmtId="49" xfId="0" applyAlignment="1" applyBorder="1" applyFont="1" applyNumberFormat="1">
      <alignment horizontal="center" shrinkToFit="0" vertical="center" wrapText="0"/>
    </xf>
    <xf borderId="4" fillId="4" fontId="6" numFmtId="0" xfId="0" applyAlignment="1" applyBorder="1" applyFont="1">
      <alignment horizontal="left" shrinkToFit="0" vertical="center" wrapText="0"/>
    </xf>
    <xf borderId="4" fillId="4" fontId="6" numFmtId="164" xfId="0" applyAlignment="1" applyBorder="1" applyFont="1" applyNumberFormat="1">
      <alignment horizontal="center" shrinkToFit="0" vertical="center" wrapText="0"/>
    </xf>
    <xf borderId="4" fillId="4" fontId="6" numFmtId="0" xfId="0" applyAlignment="1" applyBorder="1" applyFont="1">
      <alignment horizontal="left" shrinkToFit="0" vertical="center" wrapText="1"/>
    </xf>
    <xf borderId="4" fillId="4" fontId="7" numFmtId="164" xfId="0" applyAlignment="1" applyBorder="1" applyFont="1" applyNumberFormat="1">
      <alignment horizontal="center" shrinkToFit="0" vertical="center" wrapText="0"/>
    </xf>
    <xf borderId="4" fillId="4" fontId="8" numFmtId="0" xfId="0" applyAlignment="1" applyBorder="1" applyFont="1">
      <alignment horizontal="center" shrinkToFit="0" vertical="center" wrapText="0"/>
    </xf>
    <xf borderId="4" fillId="5" fontId="8" numFmtId="0" xfId="0" applyAlignment="1" applyBorder="1" applyFill="1" applyFont="1">
      <alignment horizontal="center" shrinkToFit="0" vertical="center" wrapText="0"/>
    </xf>
    <xf borderId="4" fillId="4" fontId="7" numFmtId="164" xfId="0" applyAlignment="1" applyBorder="1" applyFont="1" applyNumberFormat="1">
      <alignment horizontal="center" readingOrder="0" shrinkToFit="0" vertical="center" wrapText="0"/>
    </xf>
    <xf borderId="4" fillId="6" fontId="8" numFmtId="0" xfId="0" applyAlignment="1" applyBorder="1" applyFill="1" applyFont="1">
      <alignment horizontal="center" shrinkToFit="0" vertical="center" wrapText="0"/>
    </xf>
    <xf borderId="4" fillId="5" fontId="6" numFmtId="0" xfId="0" applyAlignment="1" applyBorder="1" applyFont="1">
      <alignment horizontal="center" shrinkToFit="0" vertical="center" wrapText="0"/>
    </xf>
    <xf borderId="4" fillId="5" fontId="6" numFmtId="49" xfId="0" applyAlignment="1" applyBorder="1" applyFont="1" applyNumberFormat="1">
      <alignment horizontal="center" shrinkToFit="0" vertical="center" wrapText="0"/>
    </xf>
    <xf borderId="4" fillId="5" fontId="6" numFmtId="0" xfId="0" applyAlignment="1" applyBorder="1" applyFont="1">
      <alignment shrinkToFit="0" vertical="center" wrapText="0"/>
    </xf>
    <xf borderId="4" fillId="5" fontId="6" numFmtId="164" xfId="0" applyAlignment="1" applyBorder="1" applyFont="1" applyNumberFormat="1">
      <alignment horizontal="center" shrinkToFit="0" vertical="center" wrapText="0"/>
    </xf>
    <xf borderId="4" fillId="5" fontId="6" numFmtId="0" xfId="0" applyAlignment="1" applyBorder="1" applyFont="1">
      <alignment shrinkToFit="0" vertical="center" wrapText="1"/>
    </xf>
    <xf borderId="4" fillId="5" fontId="7" numFmtId="164" xfId="0" applyAlignment="1" applyBorder="1" applyFont="1" applyNumberFormat="1">
      <alignment horizontal="center" shrinkToFit="0" vertical="center" wrapText="0"/>
    </xf>
    <xf borderId="4" fillId="6" fontId="6" numFmtId="0" xfId="0" applyAlignment="1" applyBorder="1" applyFont="1">
      <alignment horizontal="center" shrinkToFit="0" vertical="center" wrapText="0"/>
    </xf>
    <xf borderId="4" fillId="6" fontId="6" numFmtId="49" xfId="0" applyAlignment="1" applyBorder="1" applyFont="1" applyNumberFormat="1">
      <alignment horizontal="center" shrinkToFit="0" vertical="center" wrapText="0"/>
    </xf>
    <xf borderId="4" fillId="6" fontId="6" numFmtId="0" xfId="0" applyAlignment="1" applyBorder="1" applyFont="1">
      <alignment shrinkToFit="0" vertical="center" wrapText="0"/>
    </xf>
    <xf borderId="4" fillId="6" fontId="6" numFmtId="164" xfId="0" applyAlignment="1" applyBorder="1" applyFont="1" applyNumberFormat="1">
      <alignment horizontal="center" shrinkToFit="0" vertical="center" wrapText="0"/>
    </xf>
    <xf borderId="4" fillId="6" fontId="6" numFmtId="0" xfId="0" applyAlignment="1" applyBorder="1" applyFont="1">
      <alignment shrinkToFit="0" vertical="center" wrapText="1"/>
    </xf>
    <xf borderId="4" fillId="6" fontId="7" numFmtId="164" xfId="0" applyAlignment="1" applyBorder="1" applyFont="1" applyNumberFormat="1">
      <alignment horizontal="center" readingOrder="0" shrinkToFit="0" vertical="center" wrapText="0"/>
    </xf>
    <xf borderId="4" fillId="5" fontId="7" numFmtId="164" xfId="0" applyAlignment="1" applyBorder="1" applyFont="1" applyNumberFormat="1">
      <alignment horizontal="center" readingOrder="0" shrinkToFit="0" vertical="center" wrapText="0"/>
    </xf>
    <xf borderId="4" fillId="7" fontId="6" numFmtId="0" xfId="0" applyAlignment="1" applyBorder="1" applyFill="1" applyFont="1">
      <alignment horizontal="center" shrinkToFit="0" vertical="center" wrapText="0"/>
    </xf>
    <xf borderId="4" fillId="7" fontId="6" numFmtId="49" xfId="0" applyAlignment="1" applyBorder="1" applyFont="1" applyNumberFormat="1">
      <alignment horizontal="center" shrinkToFit="0" vertical="center" wrapText="0"/>
    </xf>
    <xf borderId="4" fillId="7" fontId="6" numFmtId="0" xfId="0" applyAlignment="1" applyBorder="1" applyFont="1">
      <alignment shrinkToFit="0" vertical="center" wrapText="0"/>
    </xf>
    <xf borderId="4" fillId="7" fontId="6" numFmtId="164" xfId="0" applyAlignment="1" applyBorder="1" applyFont="1" applyNumberFormat="1">
      <alignment horizontal="center" shrinkToFit="0" vertical="center" wrapText="0"/>
    </xf>
    <xf borderId="4" fillId="7" fontId="6" numFmtId="0" xfId="0" applyAlignment="1" applyBorder="1" applyFont="1">
      <alignment shrinkToFit="0" vertical="center" wrapText="1"/>
    </xf>
    <xf borderId="4" fillId="7" fontId="7" numFmtId="164" xfId="0" applyAlignment="1" applyBorder="1" applyFont="1" applyNumberFormat="1">
      <alignment horizontal="center" readingOrder="0" shrinkToFit="0" vertical="center" wrapText="0"/>
    </xf>
    <xf borderId="4" fillId="7" fontId="8" numFmtId="0" xfId="0" applyAlignment="1" applyBorder="1" applyFont="1">
      <alignment horizontal="center" shrinkToFit="0" vertical="center" wrapText="0"/>
    </xf>
    <xf borderId="4" fillId="7" fontId="9" numFmtId="0" xfId="0" applyAlignment="1" applyBorder="1" applyFont="1">
      <alignment horizontal="center" readingOrder="0" shrinkToFit="0" vertical="center" wrapText="0"/>
    </xf>
    <xf borderId="4" fillId="4" fontId="6" numFmtId="0" xfId="0" applyAlignment="1" applyBorder="1" applyFont="1">
      <alignment shrinkToFit="0" vertical="center" wrapText="0"/>
    </xf>
    <xf borderId="4" fillId="4" fontId="6" numFmtId="0" xfId="0" applyAlignment="1" applyBorder="1" applyFont="1">
      <alignment shrinkToFit="0" vertical="center" wrapText="1"/>
    </xf>
    <xf borderId="4" fillId="8" fontId="6" numFmtId="0" xfId="0" applyAlignment="1" applyBorder="1" applyFill="1" applyFont="1">
      <alignment horizontal="center" shrinkToFit="0" vertical="center" wrapText="0"/>
    </xf>
    <xf borderId="4" fillId="8" fontId="6" numFmtId="49" xfId="0" applyAlignment="1" applyBorder="1" applyFont="1" applyNumberFormat="1">
      <alignment horizontal="center" shrinkToFit="0" vertical="center" wrapText="0"/>
    </xf>
    <xf borderId="4" fillId="8" fontId="6" numFmtId="0" xfId="0" applyAlignment="1" applyBorder="1" applyFont="1">
      <alignment shrinkToFit="0" vertical="center" wrapText="0"/>
    </xf>
    <xf borderId="4" fillId="8" fontId="6" numFmtId="164" xfId="0" applyAlignment="1" applyBorder="1" applyFont="1" applyNumberFormat="1">
      <alignment horizontal="center" shrinkToFit="0" vertical="center" wrapText="0"/>
    </xf>
    <xf borderId="4" fillId="8" fontId="6" numFmtId="0" xfId="0" applyAlignment="1" applyBorder="1" applyFont="1">
      <alignment shrinkToFit="0" vertical="center" wrapText="1"/>
    </xf>
    <xf borderId="4" fillId="8" fontId="7" numFmtId="164" xfId="0" applyAlignment="1" applyBorder="1" applyFont="1" applyNumberFormat="1">
      <alignment horizontal="center" readingOrder="0" shrinkToFit="0" vertical="center" wrapText="0"/>
    </xf>
    <xf borderId="4" fillId="8" fontId="8" numFmtId="0" xfId="0" applyAlignment="1" applyBorder="1" applyFont="1">
      <alignment horizontal="center" shrinkToFit="0" vertical="center" wrapText="0"/>
    </xf>
    <xf borderId="4" fillId="8" fontId="9" numFmtId="0" xfId="0" applyAlignment="1" applyBorder="1" applyFont="1">
      <alignment horizontal="center" readingOrder="0" shrinkToFit="0" vertical="center" wrapText="0"/>
    </xf>
    <xf borderId="4" fillId="8" fontId="7" numFmtId="164" xfId="0" applyAlignment="1" applyBorder="1" applyFont="1" applyNumberFormat="1">
      <alignment horizontal="center" shrinkToFit="0" vertical="center" wrapText="0"/>
    </xf>
    <xf borderId="4" fillId="7" fontId="7" numFmtId="164" xfId="0" applyAlignment="1" applyBorder="1" applyFont="1" applyNumberFormat="1">
      <alignment horizontal="center" shrinkToFit="0" vertical="center" wrapText="0"/>
    </xf>
    <xf borderId="4" fillId="9" fontId="6" numFmtId="0" xfId="0" applyAlignment="1" applyBorder="1" applyFill="1" applyFont="1">
      <alignment horizontal="center" shrinkToFit="0" vertical="center" wrapText="0"/>
    </xf>
    <xf borderId="4" fillId="9" fontId="6" numFmtId="49" xfId="0" applyAlignment="1" applyBorder="1" applyFont="1" applyNumberFormat="1">
      <alignment horizontal="center" shrinkToFit="0" vertical="center" wrapText="0"/>
    </xf>
    <xf borderId="4" fillId="9" fontId="6" numFmtId="0" xfId="0" applyAlignment="1" applyBorder="1" applyFont="1">
      <alignment shrinkToFit="0" vertical="center" wrapText="0"/>
    </xf>
    <xf borderId="4" fillId="9" fontId="6" numFmtId="164" xfId="0" applyAlignment="1" applyBorder="1" applyFont="1" applyNumberFormat="1">
      <alignment horizontal="center" shrinkToFit="0" vertical="center" wrapText="0"/>
    </xf>
    <xf borderId="4" fillId="9" fontId="6" numFmtId="0" xfId="0" applyAlignment="1" applyBorder="1" applyFont="1">
      <alignment shrinkToFit="0" vertical="center" wrapText="1"/>
    </xf>
    <xf borderId="4" fillId="9" fontId="7" numFmtId="164" xfId="0" applyAlignment="1" applyBorder="1" applyFont="1" applyNumberFormat="1">
      <alignment horizontal="center" shrinkToFit="0" vertical="center" wrapText="0"/>
    </xf>
    <xf borderId="4" fillId="9" fontId="8" numFmtId="0" xfId="0" applyAlignment="1" applyBorder="1" applyFont="1">
      <alignment horizontal="center" shrinkToFit="0" vertical="center" wrapText="0"/>
    </xf>
    <xf borderId="4" fillId="9" fontId="7" numFmtId="164" xfId="0" applyAlignment="1" applyBorder="1" applyFont="1" applyNumberFormat="1">
      <alignment horizontal="center" readingOrder="0" shrinkToFit="0" vertical="center" wrapText="0"/>
    </xf>
    <xf borderId="4" fillId="9" fontId="9" numFmtId="0" xfId="0" applyAlignment="1" applyBorder="1" applyFont="1">
      <alignment horizontal="center" readingOrder="0" shrinkToFit="0" vertical="center" wrapText="0"/>
    </xf>
    <xf borderId="4" fillId="6" fontId="6" numFmtId="0" xfId="0" applyAlignment="1" applyBorder="1" applyFont="1">
      <alignment horizontal="left" shrinkToFit="0" vertical="center" wrapText="0"/>
    </xf>
    <xf borderId="4" fillId="6" fontId="6" numFmtId="0" xfId="0" applyAlignment="1" applyBorder="1" applyFont="1">
      <alignment horizontal="left" shrinkToFit="0" vertical="center" wrapText="1"/>
    </xf>
    <xf borderId="4" fillId="6" fontId="7" numFmtId="164" xfId="0" applyAlignment="1" applyBorder="1" applyFont="1" applyNumberFormat="1">
      <alignment horizontal="center" shrinkToFit="0" vertical="center" wrapText="0"/>
    </xf>
    <xf borderId="4" fillId="5" fontId="6" numFmtId="0" xfId="0" applyAlignment="1" applyBorder="1" applyFont="1">
      <alignment horizontal="left" shrinkToFit="0" vertical="center" wrapText="0"/>
    </xf>
    <xf borderId="4" fillId="5" fontId="6" numFmtId="0" xfId="0" applyAlignment="1" applyBorder="1" applyFont="1">
      <alignment horizontal="left" shrinkToFit="0" vertical="center" wrapText="1"/>
    </xf>
    <xf borderId="4" fillId="9" fontId="6" numFmtId="0" xfId="0" applyAlignment="1" applyBorder="1" applyFont="1">
      <alignment horizontal="center" readingOrder="0" shrinkToFit="0" vertical="center" wrapText="0"/>
    </xf>
    <xf borderId="4" fillId="3" fontId="6" numFmtId="0" xfId="0" applyAlignment="1" applyBorder="1" applyFont="1">
      <alignment shrinkToFit="0" vertical="center" wrapText="0"/>
    </xf>
    <xf borderId="4" fillId="3" fontId="6" numFmtId="0" xfId="0" applyAlignment="1" applyBorder="1" applyFont="1">
      <alignment shrinkToFit="0" vertical="center" wrapText="1"/>
    </xf>
    <xf borderId="4" fillId="3" fontId="7" numFmtId="164" xfId="0" applyAlignment="1" applyBorder="1" applyFont="1" applyNumberFormat="1">
      <alignment horizontal="center" shrinkToFit="0" vertical="center" wrapText="0"/>
    </xf>
    <xf borderId="4" fillId="3" fontId="9" numFmtId="0" xfId="0" applyAlignment="1" applyBorder="1" applyFont="1">
      <alignment horizontal="center" shrinkToFit="0" vertical="center" wrapText="0"/>
    </xf>
    <xf borderId="4" fillId="7" fontId="9" numFmtId="0" xfId="0" applyAlignment="1" applyBorder="1" applyFont="1">
      <alignment horizontal="center" shrinkToFit="0" vertical="center" wrapText="0"/>
    </xf>
    <xf borderId="4" fillId="6" fontId="6" numFmtId="164" xfId="0" applyAlignment="1" applyBorder="1" applyFont="1" applyNumberFormat="1">
      <alignment horizontal="center" readingOrder="0" shrinkToFit="0" vertical="center" wrapText="0"/>
    </xf>
    <xf borderId="4" fillId="9" fontId="9" numFmtId="0" xfId="0" applyAlignment="1" applyBorder="1" applyFont="1">
      <alignment horizontal="left" readingOrder="0" shrinkToFit="0" vertical="center" wrapText="0"/>
    </xf>
    <xf borderId="4" fillId="5" fontId="8" numFmtId="165" xfId="0" applyAlignment="1" applyBorder="1" applyFont="1" applyNumberFormat="1">
      <alignment horizontal="center" shrinkToFit="0" vertical="center" wrapText="0"/>
    </xf>
    <xf borderId="4" fillId="6" fontId="8" numFmtId="165" xfId="0" applyAlignment="1" applyBorder="1" applyFont="1" applyNumberFormat="1">
      <alignment horizontal="center" shrinkToFit="0" vertical="center" wrapText="0"/>
    </xf>
    <xf borderId="4" fillId="10" fontId="6" numFmtId="0" xfId="0" applyAlignment="1" applyBorder="1" applyFill="1" applyFont="1">
      <alignment horizontal="center" shrinkToFit="0" vertical="center" wrapText="0"/>
    </xf>
    <xf borderId="4" fillId="10" fontId="6" numFmtId="49" xfId="0" applyAlignment="1" applyBorder="1" applyFont="1" applyNumberFormat="1">
      <alignment horizontal="center" shrinkToFit="0" vertical="center" wrapText="0"/>
    </xf>
    <xf borderId="4" fillId="10" fontId="6" numFmtId="0" xfId="0" applyAlignment="1" applyBorder="1" applyFont="1">
      <alignment horizontal="left" shrinkToFit="0" vertical="center" wrapText="0"/>
    </xf>
    <xf borderId="4" fillId="10" fontId="6" numFmtId="164" xfId="0" applyAlignment="1" applyBorder="1" applyFont="1" applyNumberFormat="1">
      <alignment horizontal="center" shrinkToFit="0" vertical="center" wrapText="0"/>
    </xf>
    <xf borderId="4" fillId="10" fontId="6" numFmtId="0" xfId="0" applyAlignment="1" applyBorder="1" applyFont="1">
      <alignment shrinkToFit="0" vertical="center" wrapText="1"/>
    </xf>
    <xf borderId="4" fillId="10" fontId="7" numFmtId="164" xfId="0" applyAlignment="1" applyBorder="1" applyFont="1" applyNumberFormat="1">
      <alignment horizontal="center" readingOrder="0" shrinkToFit="0" vertical="center" wrapText="0"/>
    </xf>
    <xf borderId="4" fillId="10" fontId="8" numFmtId="0" xfId="0" applyAlignment="1" applyBorder="1" applyFont="1">
      <alignment horizontal="center" shrinkToFit="0" vertical="center" wrapText="0"/>
    </xf>
    <xf borderId="4" fillId="10" fontId="9" numFmtId="0" xfId="0" applyAlignment="1" applyBorder="1" applyFont="1">
      <alignment horizontal="center" readingOrder="0" shrinkToFit="0" vertical="center" wrapText="0"/>
    </xf>
    <xf borderId="4" fillId="6" fontId="6" numFmtId="0" xfId="0" applyAlignment="1" applyBorder="1" applyFont="1">
      <alignment horizontal="center" readingOrder="0" shrinkToFit="0" vertical="center" wrapText="0"/>
    </xf>
    <xf borderId="4" fillId="6" fontId="6" numFmtId="49" xfId="0" applyAlignment="1" applyBorder="1" applyFont="1" applyNumberFormat="1">
      <alignment horizontal="center" readingOrder="0" shrinkToFit="0" vertical="center" wrapText="0"/>
    </xf>
    <xf borderId="4" fillId="6" fontId="6" numFmtId="0" xfId="0" applyAlignment="1" applyBorder="1" applyFont="1">
      <alignment horizontal="left" readingOrder="0" shrinkToFit="0" vertical="center" wrapText="0"/>
    </xf>
    <xf borderId="4" fillId="6" fontId="6" numFmtId="0" xfId="0" applyAlignment="1" applyBorder="1" applyFont="1">
      <alignment horizontal="left" readingOrder="0" shrinkToFit="0" vertical="center" wrapText="1"/>
    </xf>
    <xf borderId="4" fillId="5" fontId="6" numFmtId="0" xfId="0" applyAlignment="1" applyBorder="1" applyFont="1">
      <alignment horizontal="center" readingOrder="0" shrinkToFit="0" vertical="center" wrapText="0"/>
    </xf>
    <xf borderId="4" fillId="5" fontId="6" numFmtId="49" xfId="0" applyAlignment="1" applyBorder="1" applyFont="1" applyNumberFormat="1">
      <alignment horizontal="center" readingOrder="0" shrinkToFit="0" vertical="center" wrapText="0"/>
    </xf>
    <xf borderId="4" fillId="5" fontId="6" numFmtId="0" xfId="0" applyAlignment="1" applyBorder="1" applyFont="1">
      <alignment horizontal="left" readingOrder="0" shrinkToFit="0" vertical="center" wrapText="0"/>
    </xf>
    <xf borderId="4" fillId="5" fontId="6" numFmtId="164" xfId="0" applyAlignment="1" applyBorder="1" applyFont="1" applyNumberFormat="1">
      <alignment horizontal="center" readingOrder="0" shrinkToFit="0" vertical="center" wrapText="0"/>
    </xf>
    <xf borderId="4" fillId="5" fontId="6" numFmtId="0" xfId="0" applyAlignment="1" applyBorder="1" applyFont="1">
      <alignment horizontal="left" readingOrder="0" shrinkToFit="0" vertical="center" wrapText="1"/>
    </xf>
    <xf borderId="4" fillId="5" fontId="8" numFmtId="0" xfId="0" applyAlignment="1" applyBorder="1" applyFont="1">
      <alignment horizontal="center" readingOrder="0" shrinkToFit="0" vertical="center" wrapText="0"/>
    </xf>
    <xf borderId="4" fillId="9" fontId="6" numFmtId="0" xfId="0" applyAlignment="1" applyBorder="1" applyFont="1">
      <alignment horizontal="left" shrinkToFit="0" vertical="center" wrapText="0"/>
    </xf>
    <xf borderId="4" fillId="9" fontId="6" numFmtId="0" xfId="0" applyAlignment="1" applyBorder="1" applyFont="1">
      <alignment horizontal="left" shrinkToFit="0" vertical="center" wrapText="1"/>
    </xf>
    <xf borderId="4" fillId="8" fontId="6" numFmtId="0" xfId="0" applyAlignment="1" applyBorder="1" applyFont="1">
      <alignment horizontal="center" readingOrder="0" shrinkToFit="0" vertical="center" wrapText="0"/>
    </xf>
    <xf borderId="4" fillId="7" fontId="6" numFmtId="0" xfId="0" applyAlignment="1" applyBorder="1" applyFont="1">
      <alignment horizontal="center" readingOrder="0" shrinkToFit="0" vertical="center" wrapText="0"/>
    </xf>
    <xf borderId="4" fillId="7" fontId="6" numFmtId="0" xfId="0" applyAlignment="1" applyBorder="1" applyFont="1">
      <alignment horizontal="left" shrinkToFit="0" vertical="center" wrapText="0"/>
    </xf>
    <xf borderId="4" fillId="7" fontId="6" numFmtId="0" xfId="0" applyAlignment="1" applyBorder="1" applyFont="1">
      <alignment horizontal="left" shrinkToFit="0" vertical="center" wrapText="1"/>
    </xf>
    <xf borderId="4" fillId="5" fontId="7" numFmtId="164" xfId="0" applyAlignment="1" applyBorder="1" applyFont="1" applyNumberFormat="1">
      <alignment readingOrder="0" shrinkToFit="0" vertical="center" wrapText="0"/>
    </xf>
    <xf borderId="4" fillId="6" fontId="7" numFmtId="164" xfId="0" applyAlignment="1" applyBorder="1" applyFont="1" applyNumberFormat="1">
      <alignment readingOrder="0" shrinkToFit="0" vertical="center" wrapText="0"/>
    </xf>
    <xf borderId="4" fillId="11" fontId="6" numFmtId="0" xfId="0" applyAlignment="1" applyBorder="1" applyFill="1" applyFont="1">
      <alignment horizontal="center" readingOrder="0" shrinkToFit="0" vertical="center" wrapText="0"/>
    </xf>
    <xf borderId="4" fillId="11" fontId="6" numFmtId="0" xfId="0" applyAlignment="1" applyBorder="1" applyFont="1">
      <alignment horizontal="center" shrinkToFit="0" vertical="center" wrapText="0"/>
    </xf>
    <xf borderId="4" fillId="11" fontId="6" numFmtId="49" xfId="0" applyAlignment="1" applyBorder="1" applyFont="1" applyNumberFormat="1">
      <alignment horizontal="center" shrinkToFit="0" vertical="center" wrapText="0"/>
    </xf>
    <xf borderId="4" fillId="11" fontId="6" numFmtId="0" xfId="0" applyAlignment="1" applyBorder="1" applyFont="1">
      <alignment horizontal="left" shrinkToFit="0" vertical="center" wrapText="0"/>
    </xf>
    <xf borderId="4" fillId="11" fontId="6" numFmtId="164" xfId="0" applyAlignment="1" applyBorder="1" applyFont="1" applyNumberFormat="1">
      <alignment horizontal="center" shrinkToFit="0" vertical="center" wrapText="0"/>
    </xf>
    <xf borderId="4" fillId="11" fontId="6" numFmtId="0" xfId="0" applyAlignment="1" applyBorder="1" applyFont="1">
      <alignment horizontal="left" shrinkToFit="0" vertical="center" wrapText="1"/>
    </xf>
    <xf borderId="4" fillId="11" fontId="7" numFmtId="164" xfId="0" applyAlignment="1" applyBorder="1" applyFont="1" applyNumberFormat="1">
      <alignment horizontal="center" readingOrder="0" shrinkToFit="0" vertical="center" wrapText="0"/>
    </xf>
    <xf borderId="4" fillId="11" fontId="8" numFmtId="0" xfId="0" applyAlignment="1" applyBorder="1" applyFont="1">
      <alignment horizontal="center" shrinkToFit="0" vertical="center" wrapText="0"/>
    </xf>
    <xf borderId="4" fillId="11" fontId="9" numFmtId="0" xfId="0" applyAlignment="1" applyBorder="1" applyFont="1">
      <alignment horizontal="center" readingOrder="0" shrinkToFit="0" vertical="center" wrapText="0"/>
    </xf>
    <xf borderId="4" fillId="7" fontId="7" numFmtId="165" xfId="0" applyAlignment="1" applyBorder="1" applyFont="1" applyNumberFormat="1">
      <alignment horizontal="center" readingOrder="0" shrinkToFit="0" vertical="center" wrapText="0"/>
    </xf>
    <xf borderId="4" fillId="0" fontId="8" numFmtId="0" xfId="0" applyAlignment="1" applyBorder="1" applyFont="1">
      <alignment horizontal="center" shrinkToFit="0" vertical="center" wrapText="0"/>
    </xf>
    <xf borderId="1" fillId="2" fontId="10" numFmtId="0" xfId="0" applyAlignment="1" applyBorder="1" applyFont="1">
      <alignment horizontal="center" shrinkToFit="0" vertical="center" wrapText="1"/>
    </xf>
    <xf borderId="2" fillId="2" fontId="10" numFmtId="0" xfId="0" applyAlignment="1" applyBorder="1" applyFont="1">
      <alignment horizontal="center" shrinkToFit="0" vertical="center" wrapText="1"/>
    </xf>
    <xf borderId="5" fillId="2" fontId="10" numFmtId="0" xfId="0" applyAlignment="1" applyBorder="1" applyFont="1">
      <alignment horizontal="center" shrinkToFit="0" vertical="center" wrapText="1"/>
    </xf>
    <xf borderId="6" fillId="2" fontId="11" numFmtId="0" xfId="0" applyAlignment="1" applyBorder="1" applyFont="1">
      <alignment horizontal="center" readingOrder="0" shrinkToFit="0" vertical="center" wrapText="1"/>
    </xf>
    <xf borderId="4" fillId="5" fontId="12" numFmtId="0" xfId="0" applyAlignment="1" applyBorder="1" applyFont="1">
      <alignment readingOrder="0"/>
    </xf>
    <xf borderId="4" fillId="6" fontId="12" numFmtId="0" xfId="0" applyAlignment="1" applyBorder="1" applyFont="1">
      <alignment readingOrder="0"/>
    </xf>
    <xf borderId="4" fillId="7" fontId="6" numFmtId="49" xfId="0" applyAlignment="1" applyBorder="1" applyFont="1" applyNumberFormat="1">
      <alignment horizontal="center" readingOrder="0" shrinkToFit="0" vertical="center" wrapText="0"/>
    </xf>
    <xf borderId="4" fillId="7" fontId="6" numFmtId="164" xfId="0" applyAlignment="1" applyBorder="1" applyFont="1" applyNumberFormat="1">
      <alignment horizontal="center" readingOrder="0" shrinkToFit="0" vertical="center" wrapText="0"/>
    </xf>
    <xf borderId="4" fillId="7" fontId="12" numFmtId="0" xfId="0" applyAlignment="1" applyBorder="1" applyFont="1">
      <alignment readingOrder="0"/>
    </xf>
    <xf borderId="4" fillId="6" fontId="6" numFmtId="165" xfId="0" applyAlignment="1" applyBorder="1" applyFont="1" applyNumberFormat="1">
      <alignment horizontal="center" readingOrder="0" shrinkToFit="0" vertical="center" wrapText="0"/>
    </xf>
    <xf borderId="0" fillId="5" fontId="6" numFmtId="0" xfId="0" applyAlignment="1" applyFont="1">
      <alignment horizontal="center" readingOrder="0" shrinkToFit="0" vertical="center" wrapText="0"/>
    </xf>
    <xf borderId="4" fillId="5" fontId="6" numFmtId="165" xfId="0" applyAlignment="1" applyBorder="1" applyFont="1" applyNumberFormat="1">
      <alignment horizontal="center" readingOrder="0" shrinkToFit="0" vertical="center" wrapText="0"/>
    </xf>
    <xf borderId="0" fillId="5" fontId="6" numFmtId="0" xfId="0" applyAlignment="1" applyFont="1">
      <alignment horizontal="center" shrinkToFit="0" vertical="center" wrapText="0"/>
    </xf>
    <xf borderId="0" fillId="5" fontId="8" numFmtId="0" xfId="0" applyAlignment="1" applyFont="1">
      <alignment horizontal="center" shrinkToFit="0" vertical="center" wrapText="0"/>
    </xf>
    <xf borderId="0" fillId="5" fontId="0" numFmtId="0" xfId="0" applyAlignment="1" applyFont="1">
      <alignment horizontal="center" readingOrder="0" shrinkToFit="0" vertical="center" wrapText="0"/>
    </xf>
    <xf borderId="0" fillId="6" fontId="6" numFmtId="0" xfId="0" applyAlignment="1" applyFont="1">
      <alignment horizontal="center" readingOrder="0" shrinkToFit="0" vertical="center" wrapText="0"/>
    </xf>
    <xf borderId="0" fillId="6" fontId="6" numFmtId="0" xfId="0" applyAlignment="1" applyFont="1">
      <alignment horizontal="center" shrinkToFit="0" vertical="center" wrapText="0"/>
    </xf>
    <xf borderId="0" fillId="6" fontId="8" numFmtId="0" xfId="0" applyAlignment="1" applyFont="1">
      <alignment horizontal="center" shrinkToFit="0" vertical="center" wrapText="0"/>
    </xf>
    <xf borderId="0" fillId="6" fontId="0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4.29"/>
    <col customWidth="1" min="2" max="2" width="21.29"/>
    <col customWidth="1" min="3" max="3" width="9.57"/>
    <col customWidth="1" min="4" max="4" width="36.43"/>
    <col customWidth="1" min="5" max="5" width="11.43"/>
    <col customWidth="1" min="6" max="6" width="34.14"/>
    <col customWidth="1" min="8" max="9" width="11.43"/>
    <col customWidth="1" min="10" max="10" width="8.71"/>
    <col customWidth="1" min="11" max="11" width="11.43"/>
    <col customWidth="1" min="12" max="12" width="19.14"/>
  </cols>
  <sheetData>
    <row r="1" ht="16.5" hidden="1" customHeight="1">
      <c r="A1" s="1"/>
      <c r="B1" s="1"/>
      <c r="C1" s="1"/>
      <c r="D1" s="2"/>
      <c r="E1" s="1"/>
      <c r="F1" s="3"/>
      <c r="G1" s="4"/>
      <c r="H1" s="4"/>
      <c r="I1" s="4"/>
      <c r="J1" s="4"/>
      <c r="K1" s="4"/>
      <c r="L1" s="4"/>
    </row>
    <row r="2" ht="16.5" hidden="1" customHeight="1">
      <c r="A2" s="1"/>
      <c r="B2" s="5" t="s">
        <v>0</v>
      </c>
      <c r="J2" s="4"/>
      <c r="K2" s="4"/>
      <c r="L2" s="4"/>
    </row>
    <row r="3" ht="48.75" hidden="1" customHeight="1">
      <c r="A3" s="6" t="s">
        <v>1</v>
      </c>
      <c r="L3" s="4"/>
    </row>
    <row r="4" ht="16.5" hidden="1" customHeight="1">
      <c r="A4" s="6"/>
      <c r="B4" s="6"/>
      <c r="C4" s="6"/>
      <c r="D4" s="7"/>
      <c r="E4" s="6"/>
      <c r="F4" s="7"/>
      <c r="G4" s="6"/>
      <c r="H4" s="6"/>
      <c r="I4" s="6"/>
      <c r="J4" s="6"/>
      <c r="K4" s="6"/>
      <c r="L4" s="4"/>
    </row>
    <row r="5" ht="51.75" hidden="1" customHeight="1">
      <c r="A5" s="8" t="s">
        <v>2</v>
      </c>
      <c r="L5" s="4"/>
    </row>
    <row r="6" ht="59.25" hidden="1" customHeight="1">
      <c r="A6" s="9"/>
      <c r="B6" s="9"/>
      <c r="C6" s="10"/>
      <c r="D6" s="11"/>
      <c r="E6" s="9"/>
      <c r="F6" s="12"/>
      <c r="G6" s="9"/>
      <c r="H6" s="13"/>
      <c r="I6" s="13"/>
      <c r="J6" s="13"/>
      <c r="K6" s="13"/>
      <c r="L6" s="4"/>
    </row>
    <row r="7">
      <c r="A7" s="14" t="s">
        <v>3</v>
      </c>
      <c r="B7" s="15" t="s">
        <v>4</v>
      </c>
      <c r="C7" s="15" t="s">
        <v>5</v>
      </c>
      <c r="D7" s="16" t="s">
        <v>6</v>
      </c>
      <c r="E7" s="15" t="s">
        <v>7</v>
      </c>
      <c r="F7" s="16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7" t="s">
        <v>13</v>
      </c>
      <c r="L7" s="18" t="s">
        <v>14</v>
      </c>
    </row>
    <row r="8" ht="19.5" hidden="1" customHeight="1">
      <c r="A8" s="19">
        <v>1.0</v>
      </c>
      <c r="B8" s="19" t="s">
        <v>15</v>
      </c>
      <c r="C8" s="20" t="s">
        <v>16</v>
      </c>
      <c r="D8" s="21" t="s">
        <v>17</v>
      </c>
      <c r="E8" s="22">
        <v>42522.0</v>
      </c>
      <c r="F8" s="23" t="s">
        <v>18</v>
      </c>
      <c r="G8" s="22" t="s">
        <v>19</v>
      </c>
      <c r="H8" s="24">
        <v>45867.0</v>
      </c>
      <c r="I8" s="24">
        <v>45881.0</v>
      </c>
      <c r="J8" s="19">
        <f t="shared" ref="J8:J45" si="1">+I8-H8+1</f>
        <v>15</v>
      </c>
      <c r="K8" s="25" t="str">
        <f t="shared" ref="K8:K122" si="2">TEXT(I8,"dddd")</f>
        <v>martes</v>
      </c>
      <c r="L8" s="25"/>
    </row>
    <row r="9" ht="19.5" hidden="1" customHeight="1">
      <c r="A9" s="19">
        <v>1.0</v>
      </c>
      <c r="B9" s="19" t="s">
        <v>15</v>
      </c>
      <c r="C9" s="20" t="s">
        <v>16</v>
      </c>
      <c r="D9" s="21" t="s">
        <v>17</v>
      </c>
      <c r="E9" s="22">
        <v>42522.0</v>
      </c>
      <c r="F9" s="23" t="s">
        <v>18</v>
      </c>
      <c r="G9" s="22" t="s">
        <v>20</v>
      </c>
      <c r="H9" s="24">
        <v>46104.0</v>
      </c>
      <c r="I9" s="24">
        <v>46118.0</v>
      </c>
      <c r="J9" s="19">
        <f t="shared" si="1"/>
        <v>15</v>
      </c>
      <c r="K9" s="25" t="str">
        <f t="shared" si="2"/>
        <v>lunes</v>
      </c>
      <c r="L9" s="26" t="s">
        <v>21</v>
      </c>
    </row>
    <row r="10" ht="19.5" hidden="1" customHeight="1">
      <c r="A10" s="27">
        <v>2.0</v>
      </c>
      <c r="B10" s="27" t="s">
        <v>15</v>
      </c>
      <c r="C10" s="28" t="s">
        <v>22</v>
      </c>
      <c r="D10" s="29" t="s">
        <v>23</v>
      </c>
      <c r="E10" s="30">
        <v>42255.0</v>
      </c>
      <c r="F10" s="31" t="s">
        <v>24</v>
      </c>
      <c r="G10" s="30" t="s">
        <v>19</v>
      </c>
      <c r="H10" s="32">
        <v>45733.0</v>
      </c>
      <c r="I10" s="32">
        <v>45735.0</v>
      </c>
      <c r="J10" s="27">
        <f t="shared" si="1"/>
        <v>3</v>
      </c>
      <c r="K10" s="33" t="str">
        <f t="shared" si="2"/>
        <v>miércoles</v>
      </c>
      <c r="L10" s="34"/>
    </row>
    <row r="11" ht="19.5" hidden="1" customHeight="1">
      <c r="A11" s="27">
        <v>2.0</v>
      </c>
      <c r="B11" s="27" t="s">
        <v>15</v>
      </c>
      <c r="C11" s="28" t="s">
        <v>22</v>
      </c>
      <c r="D11" s="29" t="s">
        <v>23</v>
      </c>
      <c r="E11" s="30">
        <v>42255.0</v>
      </c>
      <c r="F11" s="31" t="s">
        <v>24</v>
      </c>
      <c r="G11" s="30" t="s">
        <v>19</v>
      </c>
      <c r="H11" s="35">
        <v>45945.0</v>
      </c>
      <c r="I11" s="35">
        <v>45971.0</v>
      </c>
      <c r="J11" s="27">
        <f t="shared" si="1"/>
        <v>27</v>
      </c>
      <c r="K11" s="33" t="str">
        <f t="shared" si="2"/>
        <v>lunes</v>
      </c>
      <c r="L11" s="36"/>
    </row>
    <row r="12" ht="19.5" hidden="1" customHeight="1">
      <c r="A12" s="37">
        <v>3.0</v>
      </c>
      <c r="B12" s="37" t="s">
        <v>15</v>
      </c>
      <c r="C12" s="38" t="s">
        <v>25</v>
      </c>
      <c r="D12" s="39" t="s">
        <v>26</v>
      </c>
      <c r="E12" s="40">
        <v>44621.0</v>
      </c>
      <c r="F12" s="41" t="s">
        <v>18</v>
      </c>
      <c r="G12" s="40" t="s">
        <v>19</v>
      </c>
      <c r="H12" s="42">
        <v>45659.0</v>
      </c>
      <c r="I12" s="42">
        <v>45673.0</v>
      </c>
      <c r="J12" s="37">
        <f t="shared" si="1"/>
        <v>15</v>
      </c>
      <c r="K12" s="34" t="str">
        <f t="shared" si="2"/>
        <v>jueves</v>
      </c>
      <c r="L12" s="34"/>
    </row>
    <row r="13" ht="19.5" hidden="1" customHeight="1">
      <c r="A13" s="43">
        <v>3.0</v>
      </c>
      <c r="B13" s="43" t="s">
        <v>15</v>
      </c>
      <c r="C13" s="44" t="s">
        <v>25</v>
      </c>
      <c r="D13" s="45" t="s">
        <v>26</v>
      </c>
      <c r="E13" s="46">
        <v>44621.0</v>
      </c>
      <c r="F13" s="47" t="s">
        <v>18</v>
      </c>
      <c r="G13" s="46" t="s">
        <v>19</v>
      </c>
      <c r="H13" s="48">
        <v>45868.0</v>
      </c>
      <c r="I13" s="48">
        <v>45876.0</v>
      </c>
      <c r="J13" s="43">
        <f t="shared" si="1"/>
        <v>9</v>
      </c>
      <c r="K13" s="36" t="str">
        <f t="shared" si="2"/>
        <v>jueves</v>
      </c>
      <c r="L13" s="36"/>
    </row>
    <row r="14" ht="19.5" hidden="1" customHeight="1">
      <c r="A14" s="37">
        <v>3.0</v>
      </c>
      <c r="B14" s="37" t="s">
        <v>15</v>
      </c>
      <c r="C14" s="38" t="s">
        <v>25</v>
      </c>
      <c r="D14" s="39" t="s">
        <v>26</v>
      </c>
      <c r="E14" s="40">
        <v>44621.0</v>
      </c>
      <c r="F14" s="41" t="s">
        <v>18</v>
      </c>
      <c r="G14" s="40" t="s">
        <v>19</v>
      </c>
      <c r="H14" s="49">
        <v>45973.0</v>
      </c>
      <c r="I14" s="49">
        <v>45978.0</v>
      </c>
      <c r="J14" s="37">
        <f t="shared" si="1"/>
        <v>6</v>
      </c>
      <c r="K14" s="34" t="str">
        <f t="shared" si="2"/>
        <v>lunes</v>
      </c>
      <c r="L14" s="34"/>
    </row>
    <row r="15" ht="19.5" hidden="1" customHeight="1">
      <c r="A15" s="50">
        <v>4.0</v>
      </c>
      <c r="B15" s="50" t="s">
        <v>15</v>
      </c>
      <c r="C15" s="51" t="s">
        <v>27</v>
      </c>
      <c r="D15" s="52" t="s">
        <v>28</v>
      </c>
      <c r="E15" s="53">
        <v>41229.0</v>
      </c>
      <c r="F15" s="54" t="s">
        <v>18</v>
      </c>
      <c r="G15" s="53" t="s">
        <v>19</v>
      </c>
      <c r="H15" s="55">
        <v>45908.0</v>
      </c>
      <c r="I15" s="55">
        <v>45915.0</v>
      </c>
      <c r="J15" s="50">
        <f t="shared" si="1"/>
        <v>8</v>
      </c>
      <c r="K15" s="56" t="str">
        <f t="shared" si="2"/>
        <v>lunes</v>
      </c>
      <c r="L15" s="56"/>
    </row>
    <row r="16" ht="19.5" hidden="1" customHeight="1">
      <c r="A16" s="50">
        <v>4.0</v>
      </c>
      <c r="B16" s="50" t="s">
        <v>15</v>
      </c>
      <c r="C16" s="51" t="s">
        <v>27</v>
      </c>
      <c r="D16" s="52" t="s">
        <v>28</v>
      </c>
      <c r="E16" s="53">
        <v>41229.0</v>
      </c>
      <c r="F16" s="54" t="s">
        <v>18</v>
      </c>
      <c r="G16" s="53" t="s">
        <v>19</v>
      </c>
      <c r="H16" s="55">
        <v>46069.0</v>
      </c>
      <c r="I16" s="55">
        <v>46083.0</v>
      </c>
      <c r="J16" s="50">
        <f t="shared" si="1"/>
        <v>15</v>
      </c>
      <c r="K16" s="56" t="str">
        <f t="shared" si="2"/>
        <v>lunes</v>
      </c>
      <c r="L16" s="57" t="s">
        <v>29</v>
      </c>
    </row>
    <row r="17" ht="19.5" hidden="1" customHeight="1">
      <c r="A17" s="50">
        <v>4.0</v>
      </c>
      <c r="B17" s="50" t="s">
        <v>15</v>
      </c>
      <c r="C17" s="51" t="s">
        <v>27</v>
      </c>
      <c r="D17" s="52" t="s">
        <v>28</v>
      </c>
      <c r="E17" s="53">
        <v>41229.0</v>
      </c>
      <c r="F17" s="54" t="s">
        <v>18</v>
      </c>
      <c r="G17" s="53" t="s">
        <v>19</v>
      </c>
      <c r="H17" s="55">
        <v>46272.0</v>
      </c>
      <c r="I17" s="55">
        <v>46278.0</v>
      </c>
      <c r="J17" s="50">
        <f t="shared" si="1"/>
        <v>7</v>
      </c>
      <c r="K17" s="56" t="str">
        <f t="shared" si="2"/>
        <v>domingo</v>
      </c>
      <c r="L17" s="57" t="s">
        <v>29</v>
      </c>
    </row>
    <row r="18" ht="19.5" hidden="1" customHeight="1">
      <c r="A18" s="37">
        <v>5.0</v>
      </c>
      <c r="B18" s="37" t="s">
        <v>15</v>
      </c>
      <c r="C18" s="38" t="s">
        <v>30</v>
      </c>
      <c r="D18" s="39" t="s">
        <v>31</v>
      </c>
      <c r="E18" s="40">
        <v>43313.0</v>
      </c>
      <c r="F18" s="41" t="s">
        <v>18</v>
      </c>
      <c r="G18" s="40" t="s">
        <v>19</v>
      </c>
      <c r="H18" s="42">
        <v>45870.0</v>
      </c>
      <c r="I18" s="49">
        <v>45876.0</v>
      </c>
      <c r="J18" s="37">
        <f t="shared" si="1"/>
        <v>7</v>
      </c>
      <c r="K18" s="34" t="str">
        <f t="shared" si="2"/>
        <v>jueves</v>
      </c>
      <c r="L18" s="34"/>
    </row>
    <row r="19" ht="19.5" hidden="1" customHeight="1">
      <c r="A19" s="43">
        <v>5.0</v>
      </c>
      <c r="B19" s="43" t="s">
        <v>15</v>
      </c>
      <c r="C19" s="44" t="s">
        <v>30</v>
      </c>
      <c r="D19" s="45" t="s">
        <v>31</v>
      </c>
      <c r="E19" s="46">
        <v>43313.0</v>
      </c>
      <c r="F19" s="47" t="s">
        <v>18</v>
      </c>
      <c r="G19" s="46" t="s">
        <v>19</v>
      </c>
      <c r="H19" s="48">
        <v>46020.0</v>
      </c>
      <c r="I19" s="48">
        <v>46042.0</v>
      </c>
      <c r="J19" s="43">
        <f t="shared" si="1"/>
        <v>23</v>
      </c>
      <c r="K19" s="36" t="str">
        <f t="shared" si="2"/>
        <v>martes</v>
      </c>
      <c r="L19" s="36"/>
    </row>
    <row r="20" ht="19.5" hidden="1" customHeight="1">
      <c r="A20" s="27">
        <v>6.0</v>
      </c>
      <c r="B20" s="27" t="s">
        <v>15</v>
      </c>
      <c r="C20" s="28" t="s">
        <v>32</v>
      </c>
      <c r="D20" s="58" t="s">
        <v>33</v>
      </c>
      <c r="E20" s="30">
        <v>41944.0</v>
      </c>
      <c r="F20" s="59" t="s">
        <v>18</v>
      </c>
      <c r="G20" s="30" t="s">
        <v>19</v>
      </c>
      <c r="H20" s="32">
        <v>45659.0</v>
      </c>
      <c r="I20" s="32">
        <v>45680.0</v>
      </c>
      <c r="J20" s="27">
        <f t="shared" si="1"/>
        <v>22</v>
      </c>
      <c r="K20" s="33" t="str">
        <f t="shared" si="2"/>
        <v>jueves</v>
      </c>
      <c r="L20" s="34"/>
    </row>
    <row r="21" ht="19.5" hidden="1" customHeight="1">
      <c r="A21" s="27">
        <v>6.0</v>
      </c>
      <c r="B21" s="27" t="s">
        <v>15</v>
      </c>
      <c r="C21" s="28" t="s">
        <v>32</v>
      </c>
      <c r="D21" s="58" t="s">
        <v>33</v>
      </c>
      <c r="E21" s="30">
        <v>41944.0</v>
      </c>
      <c r="F21" s="59" t="s">
        <v>18</v>
      </c>
      <c r="G21" s="30" t="s">
        <v>19</v>
      </c>
      <c r="H21" s="35">
        <v>45706.0</v>
      </c>
      <c r="I21" s="35">
        <v>45707.0</v>
      </c>
      <c r="J21" s="27">
        <f t="shared" si="1"/>
        <v>2</v>
      </c>
      <c r="K21" s="33" t="str">
        <f t="shared" si="2"/>
        <v>miércoles</v>
      </c>
      <c r="L21" s="36"/>
    </row>
    <row r="22" ht="19.5" hidden="1" customHeight="1">
      <c r="A22" s="27">
        <v>6.0</v>
      </c>
      <c r="B22" s="27" t="s">
        <v>15</v>
      </c>
      <c r="C22" s="28" t="s">
        <v>32</v>
      </c>
      <c r="D22" s="58" t="s">
        <v>33</v>
      </c>
      <c r="E22" s="30">
        <v>41944.0</v>
      </c>
      <c r="F22" s="59" t="s">
        <v>18</v>
      </c>
      <c r="G22" s="30" t="s">
        <v>19</v>
      </c>
      <c r="H22" s="35">
        <v>45874.0</v>
      </c>
      <c r="I22" s="35">
        <v>45879.0</v>
      </c>
      <c r="J22" s="27">
        <f t="shared" si="1"/>
        <v>6</v>
      </c>
      <c r="K22" s="33" t="str">
        <f t="shared" si="2"/>
        <v>domingo</v>
      </c>
      <c r="L22" s="34"/>
    </row>
    <row r="23" ht="19.5" hidden="1" customHeight="1">
      <c r="A23" s="60">
        <v>7.0</v>
      </c>
      <c r="B23" s="60" t="s">
        <v>15</v>
      </c>
      <c r="C23" s="61" t="s">
        <v>34</v>
      </c>
      <c r="D23" s="62" t="s">
        <v>35</v>
      </c>
      <c r="E23" s="63">
        <v>42795.0</v>
      </c>
      <c r="F23" s="64" t="s">
        <v>36</v>
      </c>
      <c r="G23" s="63" t="s">
        <v>19</v>
      </c>
      <c r="H23" s="65">
        <v>45898.0</v>
      </c>
      <c r="I23" s="65">
        <v>45900.0</v>
      </c>
      <c r="J23" s="60">
        <f t="shared" si="1"/>
        <v>3</v>
      </c>
      <c r="K23" s="66" t="str">
        <f t="shared" si="2"/>
        <v>domingo</v>
      </c>
      <c r="L23" s="66"/>
    </row>
    <row r="24" ht="19.5" hidden="1" customHeight="1">
      <c r="A24" s="60">
        <v>7.0</v>
      </c>
      <c r="B24" s="60" t="s">
        <v>15</v>
      </c>
      <c r="C24" s="61" t="s">
        <v>34</v>
      </c>
      <c r="D24" s="62" t="s">
        <v>35</v>
      </c>
      <c r="E24" s="63">
        <v>42795.0</v>
      </c>
      <c r="F24" s="64" t="s">
        <v>36</v>
      </c>
      <c r="G24" s="63" t="s">
        <v>19</v>
      </c>
      <c r="H24" s="65">
        <v>45967.0</v>
      </c>
      <c r="I24" s="65">
        <v>45978.0</v>
      </c>
      <c r="J24" s="60">
        <f t="shared" si="1"/>
        <v>12</v>
      </c>
      <c r="K24" s="66" t="str">
        <f t="shared" si="2"/>
        <v>lunes</v>
      </c>
      <c r="L24" s="67" t="s">
        <v>21</v>
      </c>
    </row>
    <row r="25" ht="19.5" hidden="1" customHeight="1">
      <c r="A25" s="60">
        <v>7.0</v>
      </c>
      <c r="B25" s="60" t="s">
        <v>15</v>
      </c>
      <c r="C25" s="61" t="s">
        <v>34</v>
      </c>
      <c r="D25" s="62" t="s">
        <v>35</v>
      </c>
      <c r="E25" s="63">
        <v>42795.0</v>
      </c>
      <c r="F25" s="64" t="s">
        <v>36</v>
      </c>
      <c r="G25" s="63" t="s">
        <v>19</v>
      </c>
      <c r="H25" s="68">
        <v>46041.0</v>
      </c>
      <c r="I25" s="65">
        <v>46047.0</v>
      </c>
      <c r="J25" s="60">
        <f t="shared" si="1"/>
        <v>7</v>
      </c>
      <c r="K25" s="66" t="str">
        <f t="shared" si="2"/>
        <v>domingo</v>
      </c>
      <c r="L25" s="67" t="s">
        <v>21</v>
      </c>
    </row>
    <row r="26" ht="19.5" hidden="1" customHeight="1">
      <c r="A26" s="60">
        <v>7.0</v>
      </c>
      <c r="B26" s="60" t="s">
        <v>15</v>
      </c>
      <c r="C26" s="61" t="s">
        <v>34</v>
      </c>
      <c r="D26" s="62" t="s">
        <v>35</v>
      </c>
      <c r="E26" s="63">
        <v>42795.0</v>
      </c>
      <c r="F26" s="64" t="s">
        <v>36</v>
      </c>
      <c r="G26" s="63" t="s">
        <v>19</v>
      </c>
      <c r="H26" s="65">
        <v>46118.0</v>
      </c>
      <c r="I26" s="65">
        <v>46125.0</v>
      </c>
      <c r="J26" s="60">
        <f t="shared" si="1"/>
        <v>8</v>
      </c>
      <c r="K26" s="66" t="str">
        <f t="shared" si="2"/>
        <v>lunes</v>
      </c>
      <c r="L26" s="67" t="s">
        <v>29</v>
      </c>
    </row>
    <row r="27" ht="19.5" hidden="1" customHeight="1">
      <c r="A27" s="50">
        <v>8.0</v>
      </c>
      <c r="B27" s="50" t="s">
        <v>15</v>
      </c>
      <c r="C27" s="51" t="s">
        <v>37</v>
      </c>
      <c r="D27" s="52" t="s">
        <v>38</v>
      </c>
      <c r="E27" s="53">
        <v>42348.0</v>
      </c>
      <c r="F27" s="54" t="s">
        <v>18</v>
      </c>
      <c r="G27" s="53" t="s">
        <v>19</v>
      </c>
      <c r="H27" s="69">
        <v>46013.0</v>
      </c>
      <c r="I27" s="55">
        <v>46027.0</v>
      </c>
      <c r="J27" s="50">
        <f t="shared" si="1"/>
        <v>15</v>
      </c>
      <c r="K27" s="56" t="str">
        <f t="shared" si="2"/>
        <v>lunes</v>
      </c>
      <c r="L27" s="57" t="s">
        <v>39</v>
      </c>
    </row>
    <row r="28" ht="19.5" hidden="1" customHeight="1">
      <c r="A28" s="50">
        <v>8.0</v>
      </c>
      <c r="B28" s="50" t="s">
        <v>15</v>
      </c>
      <c r="C28" s="51" t="s">
        <v>37</v>
      </c>
      <c r="D28" s="52" t="s">
        <v>38</v>
      </c>
      <c r="E28" s="53">
        <v>42348.0</v>
      </c>
      <c r="F28" s="54" t="s">
        <v>18</v>
      </c>
      <c r="G28" s="53" t="s">
        <v>19</v>
      </c>
      <c r="H28" s="55">
        <v>46113.0</v>
      </c>
      <c r="I28" s="55">
        <v>46127.0</v>
      </c>
      <c r="J28" s="50">
        <f t="shared" si="1"/>
        <v>15</v>
      </c>
      <c r="K28" s="56" t="str">
        <f t="shared" si="2"/>
        <v>miércoles</v>
      </c>
      <c r="L28" s="57" t="s">
        <v>39</v>
      </c>
    </row>
    <row r="29" ht="19.5" hidden="1" customHeight="1">
      <c r="A29" s="70">
        <v>9.0</v>
      </c>
      <c r="B29" s="70" t="s">
        <v>15</v>
      </c>
      <c r="C29" s="71" t="s">
        <v>40</v>
      </c>
      <c r="D29" s="72" t="s">
        <v>41</v>
      </c>
      <c r="E29" s="73">
        <v>44853.0</v>
      </c>
      <c r="F29" s="74" t="s">
        <v>42</v>
      </c>
      <c r="G29" s="73" t="s">
        <v>19</v>
      </c>
      <c r="H29" s="75">
        <v>45658.0</v>
      </c>
      <c r="I29" s="75">
        <v>45672.0</v>
      </c>
      <c r="J29" s="70">
        <f t="shared" si="1"/>
        <v>15</v>
      </c>
      <c r="K29" s="76" t="str">
        <f t="shared" si="2"/>
        <v>miércoles</v>
      </c>
      <c r="L29" s="76"/>
    </row>
    <row r="30" ht="19.5" hidden="1" customHeight="1">
      <c r="A30" s="70">
        <v>9.0</v>
      </c>
      <c r="B30" s="70" t="s">
        <v>15</v>
      </c>
      <c r="C30" s="71" t="s">
        <v>40</v>
      </c>
      <c r="D30" s="72" t="s">
        <v>41</v>
      </c>
      <c r="E30" s="73">
        <v>44853.0</v>
      </c>
      <c r="F30" s="74" t="s">
        <v>42</v>
      </c>
      <c r="G30" s="73" t="s">
        <v>19</v>
      </c>
      <c r="H30" s="77">
        <v>46013.0</v>
      </c>
      <c r="I30" s="77">
        <v>46027.0</v>
      </c>
      <c r="J30" s="70">
        <f t="shared" si="1"/>
        <v>15</v>
      </c>
      <c r="K30" s="76" t="str">
        <f t="shared" si="2"/>
        <v>lunes</v>
      </c>
      <c r="L30" s="78" t="s">
        <v>43</v>
      </c>
    </row>
    <row r="31" ht="19.5" hidden="1" customHeight="1">
      <c r="A31" s="27">
        <v>10.0</v>
      </c>
      <c r="B31" s="27" t="s">
        <v>15</v>
      </c>
      <c r="C31" s="28" t="s">
        <v>44</v>
      </c>
      <c r="D31" s="58" t="s">
        <v>45</v>
      </c>
      <c r="E31" s="30">
        <v>44200.0</v>
      </c>
      <c r="F31" s="59" t="s">
        <v>18</v>
      </c>
      <c r="G31" s="30" t="s">
        <v>19</v>
      </c>
      <c r="H31" s="32">
        <v>45659.0</v>
      </c>
      <c r="I31" s="32">
        <v>45673.0</v>
      </c>
      <c r="J31" s="27">
        <f t="shared" si="1"/>
        <v>15</v>
      </c>
      <c r="K31" s="33" t="str">
        <f t="shared" si="2"/>
        <v>jueves</v>
      </c>
      <c r="L31" s="36"/>
    </row>
    <row r="32" ht="19.5" hidden="1" customHeight="1">
      <c r="A32" s="27">
        <v>10.0</v>
      </c>
      <c r="B32" s="27" t="s">
        <v>15</v>
      </c>
      <c r="C32" s="28" t="s">
        <v>44</v>
      </c>
      <c r="D32" s="58" t="s">
        <v>45</v>
      </c>
      <c r="E32" s="30">
        <v>44200.0</v>
      </c>
      <c r="F32" s="59" t="s">
        <v>18</v>
      </c>
      <c r="G32" s="30" t="s">
        <v>19</v>
      </c>
      <c r="H32" s="32">
        <v>45901.0</v>
      </c>
      <c r="I32" s="32">
        <v>45915.0</v>
      </c>
      <c r="J32" s="27">
        <f t="shared" si="1"/>
        <v>15</v>
      </c>
      <c r="K32" s="33" t="str">
        <f t="shared" si="2"/>
        <v>lunes</v>
      </c>
      <c r="L32" s="34"/>
    </row>
    <row r="33" ht="19.5" hidden="1" customHeight="1">
      <c r="A33" s="43">
        <v>11.0</v>
      </c>
      <c r="B33" s="43" t="s">
        <v>15</v>
      </c>
      <c r="C33" s="44" t="s">
        <v>46</v>
      </c>
      <c r="D33" s="79" t="s">
        <v>47</v>
      </c>
      <c r="E33" s="46">
        <v>42373.0</v>
      </c>
      <c r="F33" s="80" t="s">
        <v>48</v>
      </c>
      <c r="G33" s="46" t="s">
        <v>19</v>
      </c>
      <c r="H33" s="81">
        <v>45728.0</v>
      </c>
      <c r="I33" s="81">
        <v>45734.0</v>
      </c>
      <c r="J33" s="43">
        <f t="shared" si="1"/>
        <v>7</v>
      </c>
      <c r="K33" s="36" t="str">
        <f t="shared" si="2"/>
        <v>martes</v>
      </c>
      <c r="L33" s="36"/>
    </row>
    <row r="34" ht="19.5" hidden="1" customHeight="1">
      <c r="A34" s="37">
        <v>11.0</v>
      </c>
      <c r="B34" s="37" t="s">
        <v>15</v>
      </c>
      <c r="C34" s="38" t="s">
        <v>46</v>
      </c>
      <c r="D34" s="82" t="s">
        <v>47</v>
      </c>
      <c r="E34" s="40">
        <v>42373.0</v>
      </c>
      <c r="F34" s="83" t="s">
        <v>48</v>
      </c>
      <c r="G34" s="40" t="s">
        <v>19</v>
      </c>
      <c r="H34" s="42">
        <v>45782.0</v>
      </c>
      <c r="I34" s="42">
        <v>45788.0</v>
      </c>
      <c r="J34" s="37">
        <f t="shared" si="1"/>
        <v>7</v>
      </c>
      <c r="K34" s="34" t="str">
        <f t="shared" si="2"/>
        <v>domingo</v>
      </c>
      <c r="L34" s="34"/>
    </row>
    <row r="35" ht="19.5" hidden="1" customHeight="1">
      <c r="A35" s="43">
        <v>11.0</v>
      </c>
      <c r="B35" s="43" t="s">
        <v>15</v>
      </c>
      <c r="C35" s="44" t="s">
        <v>46</v>
      </c>
      <c r="D35" s="79" t="s">
        <v>47</v>
      </c>
      <c r="E35" s="46">
        <v>42373.0</v>
      </c>
      <c r="F35" s="80" t="s">
        <v>48</v>
      </c>
      <c r="G35" s="46" t="s">
        <v>19</v>
      </c>
      <c r="H35" s="81">
        <v>45868.0</v>
      </c>
      <c r="I35" s="81">
        <v>45874.0</v>
      </c>
      <c r="J35" s="43">
        <f t="shared" si="1"/>
        <v>7</v>
      </c>
      <c r="K35" s="36" t="str">
        <f t="shared" si="2"/>
        <v>martes</v>
      </c>
      <c r="L35" s="36"/>
    </row>
    <row r="36" ht="19.5" hidden="1" customHeight="1">
      <c r="A36" s="37">
        <v>11.0</v>
      </c>
      <c r="B36" s="37" t="s">
        <v>15</v>
      </c>
      <c r="C36" s="38" t="s">
        <v>46</v>
      </c>
      <c r="D36" s="82" t="s">
        <v>47</v>
      </c>
      <c r="E36" s="40">
        <v>42373.0</v>
      </c>
      <c r="F36" s="83" t="s">
        <v>48</v>
      </c>
      <c r="G36" s="40" t="s">
        <v>19</v>
      </c>
      <c r="H36" s="42">
        <v>46014.0</v>
      </c>
      <c r="I36" s="42">
        <v>46022.0</v>
      </c>
      <c r="J36" s="37">
        <f t="shared" si="1"/>
        <v>9</v>
      </c>
      <c r="K36" s="34" t="str">
        <f t="shared" si="2"/>
        <v>miércoles</v>
      </c>
      <c r="L36" s="34"/>
    </row>
    <row r="37" ht="19.5" hidden="1" customHeight="1">
      <c r="A37" s="27">
        <v>12.0</v>
      </c>
      <c r="B37" s="27" t="s">
        <v>15</v>
      </c>
      <c r="C37" s="28" t="s">
        <v>49</v>
      </c>
      <c r="D37" s="58" t="s">
        <v>50</v>
      </c>
      <c r="E37" s="30">
        <v>42737.0</v>
      </c>
      <c r="F37" s="59" t="s">
        <v>18</v>
      </c>
      <c r="G37" s="30" t="s">
        <v>19</v>
      </c>
      <c r="H37" s="32">
        <v>45659.0</v>
      </c>
      <c r="I37" s="32">
        <v>45666.0</v>
      </c>
      <c r="J37" s="27">
        <f t="shared" si="1"/>
        <v>8</v>
      </c>
      <c r="K37" s="33" t="str">
        <f t="shared" si="2"/>
        <v>jueves</v>
      </c>
      <c r="L37" s="36"/>
    </row>
    <row r="38" ht="19.5" hidden="1" customHeight="1">
      <c r="A38" s="27">
        <v>12.0</v>
      </c>
      <c r="B38" s="27" t="s">
        <v>15</v>
      </c>
      <c r="C38" s="28" t="s">
        <v>51</v>
      </c>
      <c r="D38" s="58" t="s">
        <v>50</v>
      </c>
      <c r="E38" s="30">
        <v>42737.0</v>
      </c>
      <c r="F38" s="59" t="s">
        <v>18</v>
      </c>
      <c r="G38" s="30" t="s">
        <v>19</v>
      </c>
      <c r="H38" s="32">
        <v>45733.0</v>
      </c>
      <c r="I38" s="32">
        <v>45747.0</v>
      </c>
      <c r="J38" s="27">
        <f t="shared" si="1"/>
        <v>15</v>
      </c>
      <c r="K38" s="33" t="str">
        <f t="shared" si="2"/>
        <v>lunes</v>
      </c>
      <c r="L38" s="34"/>
    </row>
    <row r="39" ht="19.5" hidden="1" customHeight="1">
      <c r="A39" s="27">
        <v>12.0</v>
      </c>
      <c r="B39" s="27" t="s">
        <v>15</v>
      </c>
      <c r="C39" s="28" t="s">
        <v>52</v>
      </c>
      <c r="D39" s="58" t="s">
        <v>50</v>
      </c>
      <c r="E39" s="30">
        <v>42737.0</v>
      </c>
      <c r="F39" s="59" t="s">
        <v>18</v>
      </c>
      <c r="G39" s="30" t="s">
        <v>19</v>
      </c>
      <c r="H39" s="32">
        <v>45911.0</v>
      </c>
      <c r="I39" s="32">
        <v>45917.0</v>
      </c>
      <c r="J39" s="27">
        <f t="shared" si="1"/>
        <v>7</v>
      </c>
      <c r="K39" s="33" t="str">
        <f t="shared" si="2"/>
        <v>miércoles</v>
      </c>
      <c r="L39" s="36"/>
    </row>
    <row r="40" ht="19.5" hidden="1" customHeight="1">
      <c r="A40" s="37">
        <v>13.0</v>
      </c>
      <c r="B40" s="37" t="s">
        <v>15</v>
      </c>
      <c r="C40" s="38" t="s">
        <v>53</v>
      </c>
      <c r="D40" s="39" t="s">
        <v>54</v>
      </c>
      <c r="E40" s="40">
        <v>44601.0</v>
      </c>
      <c r="F40" s="41" t="s">
        <v>55</v>
      </c>
      <c r="G40" s="40" t="s">
        <v>19</v>
      </c>
      <c r="H40" s="42">
        <v>45698.0</v>
      </c>
      <c r="I40" s="42">
        <v>45711.0</v>
      </c>
      <c r="J40" s="37">
        <f t="shared" si="1"/>
        <v>14</v>
      </c>
      <c r="K40" s="34" t="str">
        <f t="shared" si="2"/>
        <v>domingo</v>
      </c>
      <c r="L40" s="34"/>
    </row>
    <row r="41" ht="19.5" hidden="1" customHeight="1">
      <c r="A41" s="43">
        <v>13.0</v>
      </c>
      <c r="B41" s="43" t="s">
        <v>15</v>
      </c>
      <c r="C41" s="44" t="s">
        <v>53</v>
      </c>
      <c r="D41" s="45" t="s">
        <v>54</v>
      </c>
      <c r="E41" s="46">
        <v>44601.0</v>
      </c>
      <c r="F41" s="47" t="s">
        <v>55</v>
      </c>
      <c r="G41" s="46" t="s">
        <v>19</v>
      </c>
      <c r="H41" s="48">
        <v>45873.0</v>
      </c>
      <c r="I41" s="48">
        <v>45879.0</v>
      </c>
      <c r="J41" s="43">
        <f t="shared" si="1"/>
        <v>7</v>
      </c>
      <c r="K41" s="36" t="str">
        <f t="shared" si="2"/>
        <v>domingo</v>
      </c>
      <c r="L41" s="36"/>
    </row>
    <row r="42" ht="19.5" hidden="1" customHeight="1">
      <c r="A42" s="37">
        <v>13.0</v>
      </c>
      <c r="B42" s="37" t="s">
        <v>15</v>
      </c>
      <c r="C42" s="38" t="s">
        <v>53</v>
      </c>
      <c r="D42" s="39" t="s">
        <v>54</v>
      </c>
      <c r="E42" s="40">
        <v>44601.0</v>
      </c>
      <c r="F42" s="41" t="s">
        <v>55</v>
      </c>
      <c r="G42" s="40" t="s">
        <v>19</v>
      </c>
      <c r="H42" s="49">
        <v>46013.0</v>
      </c>
      <c r="I42" s="49">
        <v>46015.0</v>
      </c>
      <c r="J42" s="37">
        <f t="shared" si="1"/>
        <v>3</v>
      </c>
      <c r="K42" s="34" t="str">
        <f t="shared" si="2"/>
        <v>miércoles</v>
      </c>
      <c r="L42" s="34"/>
    </row>
    <row r="43" ht="19.5" hidden="1" customHeight="1">
      <c r="A43" s="43">
        <v>13.0</v>
      </c>
      <c r="B43" s="43" t="s">
        <v>15</v>
      </c>
      <c r="C43" s="44" t="s">
        <v>53</v>
      </c>
      <c r="D43" s="45" t="s">
        <v>54</v>
      </c>
      <c r="E43" s="46">
        <v>44601.0</v>
      </c>
      <c r="F43" s="47" t="s">
        <v>55</v>
      </c>
      <c r="G43" s="46" t="s">
        <v>19</v>
      </c>
      <c r="H43" s="48">
        <v>46030.0</v>
      </c>
      <c r="I43" s="48">
        <v>46035.0</v>
      </c>
      <c r="J43" s="43">
        <f t="shared" si="1"/>
        <v>6</v>
      </c>
      <c r="K43" s="36" t="str">
        <f t="shared" si="2"/>
        <v>martes</v>
      </c>
      <c r="L43" s="36"/>
    </row>
    <row r="44" ht="19.5" hidden="1" customHeight="1">
      <c r="A44" s="70">
        <v>14.0</v>
      </c>
      <c r="B44" s="70" t="s">
        <v>15</v>
      </c>
      <c r="C44" s="71" t="s">
        <v>56</v>
      </c>
      <c r="D44" s="72" t="s">
        <v>57</v>
      </c>
      <c r="E44" s="73">
        <v>43193.0</v>
      </c>
      <c r="F44" s="74" t="s">
        <v>18</v>
      </c>
      <c r="G44" s="73" t="s">
        <v>19</v>
      </c>
      <c r="H44" s="75">
        <v>45659.0</v>
      </c>
      <c r="I44" s="75">
        <v>45666.0</v>
      </c>
      <c r="J44" s="70">
        <f t="shared" si="1"/>
        <v>8</v>
      </c>
      <c r="K44" s="76" t="str">
        <f t="shared" si="2"/>
        <v>jueves</v>
      </c>
      <c r="L44" s="76"/>
    </row>
    <row r="45" ht="19.5" hidden="1" customHeight="1">
      <c r="A45" s="70">
        <v>14.0</v>
      </c>
      <c r="B45" s="70" t="s">
        <v>15</v>
      </c>
      <c r="C45" s="71" t="s">
        <v>56</v>
      </c>
      <c r="D45" s="72" t="s">
        <v>57</v>
      </c>
      <c r="E45" s="73">
        <v>43193.0</v>
      </c>
      <c r="F45" s="74" t="s">
        <v>18</v>
      </c>
      <c r="G45" s="73" t="s">
        <v>19</v>
      </c>
      <c r="H45" s="75">
        <v>46013.0</v>
      </c>
      <c r="I45" s="77">
        <v>46027.0</v>
      </c>
      <c r="J45" s="70">
        <f t="shared" si="1"/>
        <v>15</v>
      </c>
      <c r="K45" s="76" t="str">
        <f t="shared" si="2"/>
        <v>lunes</v>
      </c>
      <c r="L45" s="76"/>
    </row>
    <row r="46" ht="19.5" hidden="1" customHeight="1">
      <c r="A46" s="70">
        <v>14.0</v>
      </c>
      <c r="B46" s="70" t="s">
        <v>15</v>
      </c>
      <c r="C46" s="71" t="s">
        <v>56</v>
      </c>
      <c r="D46" s="72" t="s">
        <v>57</v>
      </c>
      <c r="E46" s="73">
        <v>43193.0</v>
      </c>
      <c r="F46" s="74" t="s">
        <v>18</v>
      </c>
      <c r="G46" s="73" t="s">
        <v>19</v>
      </c>
      <c r="H46" s="77">
        <v>46083.0</v>
      </c>
      <c r="I46" s="77">
        <v>46089.0</v>
      </c>
      <c r="J46" s="84">
        <v>7.0</v>
      </c>
      <c r="K46" s="76" t="str">
        <f t="shared" si="2"/>
        <v>domingo</v>
      </c>
      <c r="L46" s="78" t="s">
        <v>58</v>
      </c>
    </row>
    <row r="47" ht="19.5" hidden="1" customHeight="1">
      <c r="A47" s="43">
        <v>15.0</v>
      </c>
      <c r="B47" s="43" t="s">
        <v>15</v>
      </c>
      <c r="C47" s="44" t="s">
        <v>59</v>
      </c>
      <c r="D47" s="45" t="s">
        <v>60</v>
      </c>
      <c r="E47" s="46">
        <v>41122.0</v>
      </c>
      <c r="F47" s="47" t="s">
        <v>18</v>
      </c>
      <c r="G47" s="46" t="s">
        <v>19</v>
      </c>
      <c r="H47" s="81">
        <v>45659.0</v>
      </c>
      <c r="I47" s="81">
        <v>45673.0</v>
      </c>
      <c r="J47" s="43">
        <f t="shared" ref="J47:J84" si="3">+I47-H47+1</f>
        <v>15</v>
      </c>
      <c r="K47" s="36" t="str">
        <f t="shared" si="2"/>
        <v>jueves</v>
      </c>
      <c r="L47" s="36"/>
    </row>
    <row r="48" ht="19.5" hidden="1" customHeight="1">
      <c r="A48" s="37">
        <v>15.0</v>
      </c>
      <c r="B48" s="37" t="s">
        <v>15</v>
      </c>
      <c r="C48" s="38" t="s">
        <v>59</v>
      </c>
      <c r="D48" s="39" t="s">
        <v>60</v>
      </c>
      <c r="E48" s="40">
        <v>41122.0</v>
      </c>
      <c r="F48" s="41" t="s">
        <v>18</v>
      </c>
      <c r="G48" s="40" t="s">
        <v>19</v>
      </c>
      <c r="H48" s="42">
        <v>45873.0</v>
      </c>
      <c r="I48" s="42">
        <v>45887.0</v>
      </c>
      <c r="J48" s="37">
        <f t="shared" si="3"/>
        <v>15</v>
      </c>
      <c r="K48" s="34" t="str">
        <f t="shared" si="2"/>
        <v>lunes</v>
      </c>
      <c r="L48" s="34"/>
    </row>
    <row r="49" ht="19.5" hidden="1" customHeight="1">
      <c r="A49" s="19">
        <v>16.0</v>
      </c>
      <c r="B49" s="19" t="s">
        <v>15</v>
      </c>
      <c r="C49" s="20" t="s">
        <v>61</v>
      </c>
      <c r="D49" s="85" t="s">
        <v>62</v>
      </c>
      <c r="E49" s="22">
        <v>43193.0</v>
      </c>
      <c r="F49" s="86" t="s">
        <v>18</v>
      </c>
      <c r="G49" s="22" t="s">
        <v>19</v>
      </c>
      <c r="H49" s="87">
        <v>45698.0</v>
      </c>
      <c r="I49" s="87">
        <v>45712.0</v>
      </c>
      <c r="J49" s="19">
        <f t="shared" si="3"/>
        <v>15</v>
      </c>
      <c r="K49" s="25" t="str">
        <f t="shared" si="2"/>
        <v>lunes</v>
      </c>
      <c r="L49" s="88"/>
    </row>
    <row r="50" ht="19.5" hidden="1" customHeight="1">
      <c r="A50" s="19">
        <v>16.0</v>
      </c>
      <c r="B50" s="19" t="s">
        <v>15</v>
      </c>
      <c r="C50" s="20" t="s">
        <v>61</v>
      </c>
      <c r="D50" s="85" t="s">
        <v>62</v>
      </c>
      <c r="E50" s="22">
        <v>43193.0</v>
      </c>
      <c r="F50" s="86" t="s">
        <v>18</v>
      </c>
      <c r="G50" s="22" t="s">
        <v>19</v>
      </c>
      <c r="H50" s="24">
        <v>45785.0</v>
      </c>
      <c r="I50" s="24">
        <v>45791.0</v>
      </c>
      <c r="J50" s="19">
        <f t="shared" si="3"/>
        <v>7</v>
      </c>
      <c r="K50" s="25" t="str">
        <f t="shared" si="2"/>
        <v>miércoles</v>
      </c>
      <c r="L50" s="88"/>
    </row>
    <row r="51" ht="19.5" hidden="1" customHeight="1">
      <c r="A51" s="19">
        <v>16.0</v>
      </c>
      <c r="B51" s="19" t="s">
        <v>15</v>
      </c>
      <c r="C51" s="20" t="s">
        <v>61</v>
      </c>
      <c r="D51" s="85" t="s">
        <v>62</v>
      </c>
      <c r="E51" s="22">
        <v>43193.0</v>
      </c>
      <c r="F51" s="86" t="s">
        <v>18</v>
      </c>
      <c r="G51" s="22" t="s">
        <v>19</v>
      </c>
      <c r="H51" s="87">
        <v>45845.0</v>
      </c>
      <c r="I51" s="24">
        <v>45846.0</v>
      </c>
      <c r="J51" s="19">
        <f t="shared" si="3"/>
        <v>2</v>
      </c>
      <c r="K51" s="25" t="str">
        <f t="shared" si="2"/>
        <v>martes</v>
      </c>
      <c r="L51" s="26" t="s">
        <v>63</v>
      </c>
    </row>
    <row r="52" ht="19.5" hidden="1" customHeight="1">
      <c r="A52" s="19">
        <v>16.0</v>
      </c>
      <c r="B52" s="19" t="s">
        <v>15</v>
      </c>
      <c r="C52" s="20" t="s">
        <v>61</v>
      </c>
      <c r="D52" s="85" t="s">
        <v>62</v>
      </c>
      <c r="E52" s="22">
        <v>43193.0</v>
      </c>
      <c r="F52" s="86" t="s">
        <v>18</v>
      </c>
      <c r="G52" s="22" t="s">
        <v>19</v>
      </c>
      <c r="H52" s="24">
        <v>45903.0</v>
      </c>
      <c r="I52" s="24">
        <v>45908.0</v>
      </c>
      <c r="J52" s="19">
        <f t="shared" si="3"/>
        <v>6</v>
      </c>
      <c r="K52" s="25" t="str">
        <f t="shared" si="2"/>
        <v>lunes</v>
      </c>
      <c r="L52" s="26" t="s">
        <v>63</v>
      </c>
    </row>
    <row r="53" ht="19.5" hidden="1" customHeight="1">
      <c r="A53" s="50">
        <v>17.0</v>
      </c>
      <c r="B53" s="50" t="s">
        <v>15</v>
      </c>
      <c r="C53" s="51" t="s">
        <v>64</v>
      </c>
      <c r="D53" s="52" t="s">
        <v>65</v>
      </c>
      <c r="E53" s="53">
        <v>44929.0</v>
      </c>
      <c r="F53" s="54" t="s">
        <v>18</v>
      </c>
      <c r="G53" s="53" t="s">
        <v>19</v>
      </c>
      <c r="H53" s="55">
        <v>45868.0</v>
      </c>
      <c r="I53" s="55">
        <v>45879.0</v>
      </c>
      <c r="J53" s="50">
        <f t="shared" si="3"/>
        <v>12</v>
      </c>
      <c r="K53" s="56" t="str">
        <f t="shared" si="2"/>
        <v>domingo</v>
      </c>
      <c r="L53" s="89"/>
    </row>
    <row r="54" ht="19.5" hidden="1" customHeight="1">
      <c r="A54" s="50">
        <v>17.0</v>
      </c>
      <c r="B54" s="50" t="s">
        <v>15</v>
      </c>
      <c r="C54" s="51" t="s">
        <v>64</v>
      </c>
      <c r="D54" s="52" t="s">
        <v>65</v>
      </c>
      <c r="E54" s="53">
        <v>44929.0</v>
      </c>
      <c r="F54" s="54" t="s">
        <v>18</v>
      </c>
      <c r="G54" s="53" t="s">
        <v>19</v>
      </c>
      <c r="H54" s="55">
        <v>46017.0</v>
      </c>
      <c r="I54" s="55">
        <v>46035.0</v>
      </c>
      <c r="J54" s="50">
        <f t="shared" si="3"/>
        <v>19</v>
      </c>
      <c r="K54" s="56" t="str">
        <f t="shared" si="2"/>
        <v>martes</v>
      </c>
      <c r="L54" s="57" t="s">
        <v>21</v>
      </c>
    </row>
    <row r="55" ht="19.5" hidden="1" customHeight="1">
      <c r="A55" s="43">
        <v>18.0</v>
      </c>
      <c r="B55" s="43" t="s">
        <v>15</v>
      </c>
      <c r="C55" s="44" t="s">
        <v>66</v>
      </c>
      <c r="D55" s="79" t="s">
        <v>67</v>
      </c>
      <c r="E55" s="90">
        <v>45232.0</v>
      </c>
      <c r="F55" s="80" t="s">
        <v>68</v>
      </c>
      <c r="G55" s="46" t="s">
        <v>69</v>
      </c>
      <c r="H55" s="48">
        <v>45503.0</v>
      </c>
      <c r="I55" s="48">
        <v>45509.0</v>
      </c>
      <c r="J55" s="43">
        <f t="shared" si="3"/>
        <v>7</v>
      </c>
      <c r="K55" s="36" t="str">
        <f t="shared" si="2"/>
        <v>lunes</v>
      </c>
      <c r="L55" s="36"/>
    </row>
    <row r="56" ht="19.5" hidden="1" customHeight="1">
      <c r="A56" s="37">
        <v>18.0</v>
      </c>
      <c r="B56" s="37" t="s">
        <v>15</v>
      </c>
      <c r="C56" s="38" t="s">
        <v>70</v>
      </c>
      <c r="D56" s="82" t="s">
        <v>67</v>
      </c>
      <c r="E56" s="40">
        <v>45232.0</v>
      </c>
      <c r="F56" s="83" t="s">
        <v>68</v>
      </c>
      <c r="G56" s="40" t="s">
        <v>19</v>
      </c>
      <c r="H56" s="49">
        <v>45701.0</v>
      </c>
      <c r="I56" s="49">
        <v>45708.0</v>
      </c>
      <c r="J56" s="37">
        <f t="shared" si="3"/>
        <v>8</v>
      </c>
      <c r="K56" s="34" t="str">
        <f t="shared" si="2"/>
        <v>jueves</v>
      </c>
      <c r="L56" s="34"/>
    </row>
    <row r="57" ht="19.5" hidden="1" customHeight="1">
      <c r="A57" s="43">
        <v>18.0</v>
      </c>
      <c r="B57" s="43" t="s">
        <v>15</v>
      </c>
      <c r="C57" s="44" t="s">
        <v>70</v>
      </c>
      <c r="D57" s="79" t="s">
        <v>67</v>
      </c>
      <c r="E57" s="46">
        <v>45232.0</v>
      </c>
      <c r="F57" s="80" t="s">
        <v>68</v>
      </c>
      <c r="G57" s="46" t="s">
        <v>19</v>
      </c>
      <c r="H57" s="48">
        <v>45876.0</v>
      </c>
      <c r="I57" s="48">
        <v>45882.0</v>
      </c>
      <c r="J57" s="43">
        <f t="shared" si="3"/>
        <v>7</v>
      </c>
      <c r="K57" s="36" t="str">
        <f t="shared" si="2"/>
        <v>miércoles</v>
      </c>
      <c r="L57" s="36"/>
    </row>
    <row r="58" ht="19.5" hidden="1" customHeight="1">
      <c r="A58" s="37">
        <v>18.0</v>
      </c>
      <c r="B58" s="37" t="s">
        <v>15</v>
      </c>
      <c r="C58" s="38" t="s">
        <v>70</v>
      </c>
      <c r="D58" s="82" t="s">
        <v>67</v>
      </c>
      <c r="E58" s="40">
        <v>45232.0</v>
      </c>
      <c r="F58" s="83" t="s">
        <v>68</v>
      </c>
      <c r="G58" s="40" t="s">
        <v>19</v>
      </c>
      <c r="H58" s="49">
        <v>46015.0</v>
      </c>
      <c r="I58" s="49">
        <v>46022.0</v>
      </c>
      <c r="J58" s="37">
        <f t="shared" si="3"/>
        <v>8</v>
      </c>
      <c r="K58" s="34" t="str">
        <f t="shared" si="2"/>
        <v>miércoles</v>
      </c>
      <c r="L58" s="34"/>
    </row>
    <row r="59" ht="19.5" hidden="1" customHeight="1">
      <c r="A59" s="19">
        <v>19.0</v>
      </c>
      <c r="B59" s="19" t="s">
        <v>15</v>
      </c>
      <c r="C59" s="20" t="s">
        <v>71</v>
      </c>
      <c r="D59" s="85" t="s">
        <v>72</v>
      </c>
      <c r="E59" s="22">
        <v>43605.0</v>
      </c>
      <c r="F59" s="86" t="s">
        <v>18</v>
      </c>
      <c r="G59" s="22" t="s">
        <v>19</v>
      </c>
      <c r="H59" s="24">
        <v>45845.0</v>
      </c>
      <c r="I59" s="24">
        <v>45854.0</v>
      </c>
      <c r="J59" s="19">
        <f t="shared" si="3"/>
        <v>10</v>
      </c>
      <c r="K59" s="25" t="str">
        <f t="shared" si="2"/>
        <v>miércoles</v>
      </c>
      <c r="L59" s="25"/>
    </row>
    <row r="60" ht="19.5" hidden="1" customHeight="1">
      <c r="A60" s="19">
        <v>19.0</v>
      </c>
      <c r="B60" s="19" t="s">
        <v>15</v>
      </c>
      <c r="C60" s="20" t="s">
        <v>71</v>
      </c>
      <c r="D60" s="85" t="s">
        <v>72</v>
      </c>
      <c r="E60" s="22">
        <v>43605.0</v>
      </c>
      <c r="F60" s="86" t="s">
        <v>18</v>
      </c>
      <c r="G60" s="22" t="s">
        <v>19</v>
      </c>
      <c r="H60" s="24">
        <v>45905.0</v>
      </c>
      <c r="I60" s="24">
        <v>45914.0</v>
      </c>
      <c r="J60" s="19">
        <f t="shared" si="3"/>
        <v>10</v>
      </c>
      <c r="K60" s="25" t="str">
        <f t="shared" si="2"/>
        <v>domingo</v>
      </c>
      <c r="L60" s="25"/>
    </row>
    <row r="61" ht="19.5" hidden="1" customHeight="1">
      <c r="A61" s="19">
        <v>19.0</v>
      </c>
      <c r="B61" s="19" t="s">
        <v>15</v>
      </c>
      <c r="C61" s="20" t="s">
        <v>71</v>
      </c>
      <c r="D61" s="85" t="s">
        <v>72</v>
      </c>
      <c r="E61" s="22">
        <v>43605.0</v>
      </c>
      <c r="F61" s="86" t="s">
        <v>18</v>
      </c>
      <c r="G61" s="22" t="s">
        <v>19</v>
      </c>
      <c r="H61" s="24">
        <v>46010.0</v>
      </c>
      <c r="I61" s="24">
        <v>46019.0</v>
      </c>
      <c r="J61" s="19">
        <f t="shared" si="3"/>
        <v>10</v>
      </c>
      <c r="K61" s="25" t="str">
        <f t="shared" si="2"/>
        <v>domingo</v>
      </c>
      <c r="L61" s="25"/>
    </row>
    <row r="62" ht="19.5" hidden="1" customHeight="1">
      <c r="A62" s="37">
        <v>20.0</v>
      </c>
      <c r="B62" s="37" t="s">
        <v>15</v>
      </c>
      <c r="C62" s="38" t="s">
        <v>73</v>
      </c>
      <c r="D62" s="39" t="s">
        <v>74</v>
      </c>
      <c r="E62" s="40">
        <v>44914.0</v>
      </c>
      <c r="F62" s="41" t="s">
        <v>18</v>
      </c>
      <c r="G62" s="40" t="s">
        <v>19</v>
      </c>
      <c r="H62" s="42">
        <v>45659.0</v>
      </c>
      <c r="I62" s="42">
        <v>45673.0</v>
      </c>
      <c r="J62" s="37">
        <f t="shared" si="3"/>
        <v>15</v>
      </c>
      <c r="K62" s="34" t="str">
        <f t="shared" si="2"/>
        <v>jueves</v>
      </c>
      <c r="L62" s="34"/>
    </row>
    <row r="63" ht="19.5" hidden="1" customHeight="1">
      <c r="A63" s="43">
        <v>20.0</v>
      </c>
      <c r="B63" s="43" t="s">
        <v>15</v>
      </c>
      <c r="C63" s="44" t="s">
        <v>73</v>
      </c>
      <c r="D63" s="45" t="s">
        <v>74</v>
      </c>
      <c r="E63" s="46">
        <v>44914.0</v>
      </c>
      <c r="F63" s="47" t="s">
        <v>18</v>
      </c>
      <c r="G63" s="46" t="s">
        <v>19</v>
      </c>
      <c r="H63" s="81">
        <v>45908.0</v>
      </c>
      <c r="I63" s="48">
        <v>45914.0</v>
      </c>
      <c r="J63" s="43">
        <f t="shared" si="3"/>
        <v>7</v>
      </c>
      <c r="K63" s="36" t="str">
        <f t="shared" si="2"/>
        <v>domingo</v>
      </c>
      <c r="L63" s="36"/>
    </row>
    <row r="64" ht="19.5" hidden="1" customHeight="1">
      <c r="A64" s="37">
        <v>20.0</v>
      </c>
      <c r="B64" s="37" t="s">
        <v>15</v>
      </c>
      <c r="C64" s="38" t="s">
        <v>73</v>
      </c>
      <c r="D64" s="39" t="s">
        <v>74</v>
      </c>
      <c r="E64" s="40">
        <v>44914.0</v>
      </c>
      <c r="F64" s="41" t="s">
        <v>18</v>
      </c>
      <c r="G64" s="40" t="s">
        <v>19</v>
      </c>
      <c r="H64" s="49">
        <v>46023.0</v>
      </c>
      <c r="I64" s="49">
        <v>46030.0</v>
      </c>
      <c r="J64" s="37">
        <f t="shared" si="3"/>
        <v>8</v>
      </c>
      <c r="K64" s="34" t="str">
        <f t="shared" si="2"/>
        <v>jueves</v>
      </c>
      <c r="L64" s="34"/>
    </row>
    <row r="65" ht="19.5" hidden="1" customHeight="1">
      <c r="A65" s="60">
        <v>21.0</v>
      </c>
      <c r="B65" s="60" t="s">
        <v>15</v>
      </c>
      <c r="C65" s="61" t="s">
        <v>75</v>
      </c>
      <c r="D65" s="62" t="s">
        <v>76</v>
      </c>
      <c r="E65" s="63">
        <v>41821.0</v>
      </c>
      <c r="F65" s="64" t="s">
        <v>18</v>
      </c>
      <c r="G65" s="63" t="s">
        <v>19</v>
      </c>
      <c r="H65" s="65">
        <v>45936.0</v>
      </c>
      <c r="I65" s="65">
        <v>45950.0</v>
      </c>
      <c r="J65" s="60">
        <f t="shared" si="3"/>
        <v>15</v>
      </c>
      <c r="K65" s="66" t="str">
        <f t="shared" si="2"/>
        <v>lunes</v>
      </c>
      <c r="L65" s="36"/>
    </row>
    <row r="66" ht="19.5" hidden="1" customHeight="1">
      <c r="A66" s="60">
        <v>21.0</v>
      </c>
      <c r="B66" s="60" t="s">
        <v>15</v>
      </c>
      <c r="C66" s="61" t="s">
        <v>75</v>
      </c>
      <c r="D66" s="62" t="s">
        <v>76</v>
      </c>
      <c r="E66" s="63">
        <v>41821.0</v>
      </c>
      <c r="F66" s="64" t="s">
        <v>18</v>
      </c>
      <c r="G66" s="63" t="s">
        <v>19</v>
      </c>
      <c r="H66" s="65">
        <v>46034.0</v>
      </c>
      <c r="I66" s="65">
        <v>46040.0</v>
      </c>
      <c r="J66" s="60">
        <f t="shared" si="3"/>
        <v>7</v>
      </c>
      <c r="K66" s="66" t="str">
        <f t="shared" si="2"/>
        <v>domingo</v>
      </c>
      <c r="L66" s="67" t="s">
        <v>21</v>
      </c>
    </row>
    <row r="67" ht="19.5" hidden="1" customHeight="1">
      <c r="A67" s="60">
        <v>21.0</v>
      </c>
      <c r="B67" s="60" t="s">
        <v>15</v>
      </c>
      <c r="C67" s="61" t="s">
        <v>75</v>
      </c>
      <c r="D67" s="62" t="s">
        <v>76</v>
      </c>
      <c r="E67" s="63">
        <v>41821.0</v>
      </c>
      <c r="F67" s="64" t="s">
        <v>18</v>
      </c>
      <c r="G67" s="63" t="s">
        <v>19</v>
      </c>
      <c r="H67" s="65">
        <v>46069.0</v>
      </c>
      <c r="I67" s="65">
        <v>46076.0</v>
      </c>
      <c r="J67" s="60">
        <f t="shared" si="3"/>
        <v>8</v>
      </c>
      <c r="K67" s="66" t="str">
        <f t="shared" si="2"/>
        <v>lunes</v>
      </c>
      <c r="L67" s="67" t="s">
        <v>21</v>
      </c>
    </row>
    <row r="68" ht="19.5" hidden="1" customHeight="1">
      <c r="A68" s="37">
        <v>22.0</v>
      </c>
      <c r="B68" s="37" t="s">
        <v>15</v>
      </c>
      <c r="C68" s="38" t="s">
        <v>77</v>
      </c>
      <c r="D68" s="39" t="s">
        <v>78</v>
      </c>
      <c r="E68" s="40">
        <v>43313.0</v>
      </c>
      <c r="F68" s="41" t="s">
        <v>18</v>
      </c>
      <c r="G68" s="40" t="s">
        <v>19</v>
      </c>
      <c r="H68" s="42">
        <v>45733.0</v>
      </c>
      <c r="I68" s="42">
        <v>45741.0</v>
      </c>
      <c r="J68" s="37">
        <f t="shared" si="3"/>
        <v>9</v>
      </c>
      <c r="K68" s="34" t="str">
        <f t="shared" si="2"/>
        <v>martes</v>
      </c>
      <c r="L68" s="34"/>
    </row>
    <row r="69" ht="19.5" hidden="1" customHeight="1">
      <c r="A69" s="43">
        <v>22.0</v>
      </c>
      <c r="B69" s="43" t="s">
        <v>15</v>
      </c>
      <c r="C69" s="44" t="s">
        <v>77</v>
      </c>
      <c r="D69" s="45" t="s">
        <v>78</v>
      </c>
      <c r="E69" s="46">
        <v>43313.0</v>
      </c>
      <c r="F69" s="47" t="s">
        <v>18</v>
      </c>
      <c r="G69" s="46" t="s">
        <v>19</v>
      </c>
      <c r="H69" s="48">
        <v>45873.0</v>
      </c>
      <c r="I69" s="48">
        <v>45887.0</v>
      </c>
      <c r="J69" s="43">
        <f t="shared" si="3"/>
        <v>15</v>
      </c>
      <c r="K69" s="36" t="str">
        <f t="shared" si="2"/>
        <v>lunes</v>
      </c>
      <c r="L69" s="36"/>
    </row>
    <row r="70" ht="19.5" hidden="1" customHeight="1">
      <c r="A70" s="37">
        <v>22.0</v>
      </c>
      <c r="B70" s="37" t="s">
        <v>15</v>
      </c>
      <c r="C70" s="38" t="s">
        <v>77</v>
      </c>
      <c r="D70" s="39" t="s">
        <v>78</v>
      </c>
      <c r="E70" s="40">
        <v>43313.0</v>
      </c>
      <c r="F70" s="41" t="s">
        <v>18</v>
      </c>
      <c r="G70" s="40" t="s">
        <v>19</v>
      </c>
      <c r="H70" s="49">
        <v>45972.0</v>
      </c>
      <c r="I70" s="49">
        <v>45977.0</v>
      </c>
      <c r="J70" s="37">
        <f t="shared" si="3"/>
        <v>6</v>
      </c>
      <c r="K70" s="34" t="str">
        <f t="shared" si="2"/>
        <v>domingo</v>
      </c>
      <c r="L70" s="34"/>
    </row>
    <row r="71" ht="19.5" hidden="1" customHeight="1">
      <c r="A71" s="70">
        <v>23.0</v>
      </c>
      <c r="B71" s="70" t="s">
        <v>15</v>
      </c>
      <c r="C71" s="71" t="s">
        <v>79</v>
      </c>
      <c r="D71" s="72" t="s">
        <v>80</v>
      </c>
      <c r="E71" s="73">
        <v>41913.0</v>
      </c>
      <c r="F71" s="74" t="s">
        <v>18</v>
      </c>
      <c r="G71" s="73" t="s">
        <v>19</v>
      </c>
      <c r="H71" s="75">
        <v>45957.0</v>
      </c>
      <c r="I71" s="75">
        <v>45966.0</v>
      </c>
      <c r="J71" s="70">
        <f t="shared" si="3"/>
        <v>10</v>
      </c>
      <c r="K71" s="76" t="str">
        <f t="shared" si="2"/>
        <v>miércoles</v>
      </c>
      <c r="L71" s="91" t="s">
        <v>81</v>
      </c>
    </row>
    <row r="72" ht="19.5" hidden="1" customHeight="1">
      <c r="A72" s="70">
        <v>23.0</v>
      </c>
      <c r="B72" s="70" t="s">
        <v>15</v>
      </c>
      <c r="C72" s="71" t="s">
        <v>79</v>
      </c>
      <c r="D72" s="72" t="s">
        <v>80</v>
      </c>
      <c r="E72" s="73">
        <v>41913.0</v>
      </c>
      <c r="F72" s="74" t="s">
        <v>18</v>
      </c>
      <c r="G72" s="73" t="s">
        <v>19</v>
      </c>
      <c r="H72" s="77">
        <v>46014.0</v>
      </c>
      <c r="I72" s="77">
        <v>46033.0</v>
      </c>
      <c r="J72" s="70">
        <f t="shared" si="3"/>
        <v>20</v>
      </c>
      <c r="K72" s="76" t="str">
        <f t="shared" si="2"/>
        <v>domingo</v>
      </c>
      <c r="L72" s="78" t="s">
        <v>82</v>
      </c>
    </row>
    <row r="73" ht="19.5" hidden="1" customHeight="1">
      <c r="A73" s="50">
        <v>24.0</v>
      </c>
      <c r="B73" s="50" t="s">
        <v>15</v>
      </c>
      <c r="C73" s="51" t="s">
        <v>83</v>
      </c>
      <c r="D73" s="52" t="s">
        <v>84</v>
      </c>
      <c r="E73" s="53">
        <v>44991.0</v>
      </c>
      <c r="F73" s="54" t="s">
        <v>18</v>
      </c>
      <c r="G73" s="53" t="s">
        <v>19</v>
      </c>
      <c r="H73" s="69">
        <v>45713.0</v>
      </c>
      <c r="I73" s="69">
        <v>45719.0</v>
      </c>
      <c r="J73" s="50">
        <f t="shared" si="3"/>
        <v>7</v>
      </c>
      <c r="K73" s="56" t="str">
        <f t="shared" si="2"/>
        <v>lunes</v>
      </c>
      <c r="L73" s="56"/>
    </row>
    <row r="74" ht="19.5" hidden="1" customHeight="1">
      <c r="A74" s="50">
        <v>24.0</v>
      </c>
      <c r="B74" s="50" t="s">
        <v>15</v>
      </c>
      <c r="C74" s="51" t="s">
        <v>83</v>
      </c>
      <c r="D74" s="52" t="s">
        <v>84</v>
      </c>
      <c r="E74" s="53">
        <v>44991.0</v>
      </c>
      <c r="F74" s="54" t="s">
        <v>18</v>
      </c>
      <c r="G74" s="53" t="s">
        <v>19</v>
      </c>
      <c r="H74" s="69">
        <v>45749.0</v>
      </c>
      <c r="I74" s="69">
        <v>45763.0</v>
      </c>
      <c r="J74" s="50">
        <f t="shared" si="3"/>
        <v>15</v>
      </c>
      <c r="K74" s="56" t="str">
        <f t="shared" si="2"/>
        <v>miércoles</v>
      </c>
      <c r="L74" s="56"/>
    </row>
    <row r="75" ht="19.5" hidden="1" customHeight="1">
      <c r="A75" s="50">
        <v>24.0</v>
      </c>
      <c r="B75" s="50" t="s">
        <v>15</v>
      </c>
      <c r="C75" s="51" t="s">
        <v>83</v>
      </c>
      <c r="D75" s="52" t="s">
        <v>84</v>
      </c>
      <c r="E75" s="53">
        <v>44991.0</v>
      </c>
      <c r="F75" s="54" t="s">
        <v>18</v>
      </c>
      <c r="G75" s="53" t="s">
        <v>19</v>
      </c>
      <c r="H75" s="69">
        <v>46062.0</v>
      </c>
      <c r="I75" s="55">
        <v>46069.0</v>
      </c>
      <c r="J75" s="50">
        <f t="shared" si="3"/>
        <v>8</v>
      </c>
      <c r="K75" s="56" t="str">
        <f t="shared" si="2"/>
        <v>lunes</v>
      </c>
      <c r="L75" s="57" t="s">
        <v>43</v>
      </c>
    </row>
    <row r="76" ht="19.5" hidden="1" customHeight="1">
      <c r="A76" s="37">
        <v>25.0</v>
      </c>
      <c r="B76" s="37" t="s">
        <v>15</v>
      </c>
      <c r="C76" s="38" t="s">
        <v>85</v>
      </c>
      <c r="D76" s="39" t="s">
        <v>86</v>
      </c>
      <c r="E76" s="40">
        <v>44200.0</v>
      </c>
      <c r="F76" s="41" t="s">
        <v>18</v>
      </c>
      <c r="G76" s="40" t="s">
        <v>19</v>
      </c>
      <c r="H76" s="42">
        <v>45663.0</v>
      </c>
      <c r="I76" s="42">
        <v>45677.0</v>
      </c>
      <c r="J76" s="37">
        <f t="shared" si="3"/>
        <v>15</v>
      </c>
      <c r="K76" s="34" t="str">
        <f t="shared" si="2"/>
        <v>lunes</v>
      </c>
      <c r="L76" s="92"/>
    </row>
    <row r="77" ht="19.5" hidden="1" customHeight="1">
      <c r="A77" s="43">
        <v>25.0</v>
      </c>
      <c r="B77" s="43" t="s">
        <v>15</v>
      </c>
      <c r="C77" s="44" t="s">
        <v>85</v>
      </c>
      <c r="D77" s="45" t="s">
        <v>86</v>
      </c>
      <c r="E77" s="46">
        <v>44200.0</v>
      </c>
      <c r="F77" s="47" t="s">
        <v>18</v>
      </c>
      <c r="G77" s="46" t="s">
        <v>19</v>
      </c>
      <c r="H77" s="48">
        <v>45908.0</v>
      </c>
      <c r="I77" s="48">
        <v>45922.0</v>
      </c>
      <c r="J77" s="43">
        <f t="shared" si="3"/>
        <v>15</v>
      </c>
      <c r="K77" s="36" t="str">
        <f t="shared" si="2"/>
        <v>lunes</v>
      </c>
      <c r="L77" s="93"/>
    </row>
    <row r="78" ht="19.5" hidden="1" customHeight="1">
      <c r="A78" s="37">
        <v>26.0</v>
      </c>
      <c r="B78" s="37" t="s">
        <v>15</v>
      </c>
      <c r="C78" s="38" t="s">
        <v>87</v>
      </c>
      <c r="D78" s="39" t="s">
        <v>88</v>
      </c>
      <c r="E78" s="40">
        <v>41229.0</v>
      </c>
      <c r="F78" s="41" t="s">
        <v>24</v>
      </c>
      <c r="G78" s="40" t="s">
        <v>19</v>
      </c>
      <c r="H78" s="42">
        <v>45665.0</v>
      </c>
      <c r="I78" s="42">
        <v>45671.0</v>
      </c>
      <c r="J78" s="37">
        <f t="shared" si="3"/>
        <v>7</v>
      </c>
      <c r="K78" s="34" t="str">
        <f t="shared" si="2"/>
        <v>martes</v>
      </c>
      <c r="L78" s="34"/>
    </row>
    <row r="79" ht="19.5" hidden="1" customHeight="1">
      <c r="A79" s="43">
        <v>26.0</v>
      </c>
      <c r="B79" s="43" t="s">
        <v>15</v>
      </c>
      <c r="C79" s="44" t="s">
        <v>87</v>
      </c>
      <c r="D79" s="45" t="s">
        <v>88</v>
      </c>
      <c r="E79" s="46">
        <v>41229.0</v>
      </c>
      <c r="F79" s="47" t="s">
        <v>24</v>
      </c>
      <c r="G79" s="46" t="s">
        <v>19</v>
      </c>
      <c r="H79" s="48">
        <v>45798.0</v>
      </c>
      <c r="I79" s="48">
        <v>45804.0</v>
      </c>
      <c r="J79" s="43">
        <f t="shared" si="3"/>
        <v>7</v>
      </c>
      <c r="K79" s="36" t="str">
        <f t="shared" si="2"/>
        <v>martes</v>
      </c>
      <c r="L79" s="36"/>
    </row>
    <row r="80" ht="19.5" hidden="1" customHeight="1">
      <c r="A80" s="37">
        <v>26.0</v>
      </c>
      <c r="B80" s="37" t="s">
        <v>15</v>
      </c>
      <c r="C80" s="38" t="s">
        <v>87</v>
      </c>
      <c r="D80" s="39" t="s">
        <v>88</v>
      </c>
      <c r="E80" s="40">
        <v>41229.0</v>
      </c>
      <c r="F80" s="41" t="s">
        <v>24</v>
      </c>
      <c r="G80" s="40" t="s">
        <v>19</v>
      </c>
      <c r="H80" s="49">
        <v>45931.0</v>
      </c>
      <c r="I80" s="49">
        <v>45946.0</v>
      </c>
      <c r="J80" s="37">
        <f t="shared" si="3"/>
        <v>16</v>
      </c>
      <c r="K80" s="34" t="str">
        <f t="shared" si="2"/>
        <v>jueves</v>
      </c>
      <c r="L80" s="34"/>
    </row>
    <row r="81" ht="19.5" hidden="1" customHeight="1">
      <c r="A81" s="43">
        <v>27.0</v>
      </c>
      <c r="B81" s="43" t="s">
        <v>15</v>
      </c>
      <c r="C81" s="44" t="s">
        <v>89</v>
      </c>
      <c r="D81" s="45" t="s">
        <v>90</v>
      </c>
      <c r="E81" s="46">
        <v>41229.0</v>
      </c>
      <c r="F81" s="47" t="s">
        <v>18</v>
      </c>
      <c r="G81" s="46" t="s">
        <v>19</v>
      </c>
      <c r="H81" s="81">
        <v>45747.0</v>
      </c>
      <c r="I81" s="81">
        <v>45756.0</v>
      </c>
      <c r="J81" s="43">
        <f t="shared" si="3"/>
        <v>10</v>
      </c>
      <c r="K81" s="36" t="str">
        <f t="shared" si="2"/>
        <v>miércoles</v>
      </c>
      <c r="L81" s="36"/>
    </row>
    <row r="82" ht="19.5" hidden="1" customHeight="1">
      <c r="A82" s="37">
        <v>27.0</v>
      </c>
      <c r="B82" s="37" t="s">
        <v>15</v>
      </c>
      <c r="C82" s="38" t="s">
        <v>89</v>
      </c>
      <c r="D82" s="39" t="s">
        <v>90</v>
      </c>
      <c r="E82" s="40">
        <v>41229.0</v>
      </c>
      <c r="F82" s="41" t="s">
        <v>18</v>
      </c>
      <c r="G82" s="40" t="s">
        <v>19</v>
      </c>
      <c r="H82" s="42">
        <v>46028.0</v>
      </c>
      <c r="I82" s="42">
        <v>46047.0</v>
      </c>
      <c r="J82" s="37">
        <f t="shared" si="3"/>
        <v>20</v>
      </c>
      <c r="K82" s="34" t="str">
        <f t="shared" si="2"/>
        <v>domingo</v>
      </c>
      <c r="L82" s="34"/>
    </row>
    <row r="83" ht="19.5" hidden="1" customHeight="1">
      <c r="A83" s="94">
        <v>28.0</v>
      </c>
      <c r="B83" s="94" t="s">
        <v>15</v>
      </c>
      <c r="C83" s="95" t="s">
        <v>91</v>
      </c>
      <c r="D83" s="96" t="s">
        <v>92</v>
      </c>
      <c r="E83" s="97">
        <v>41913.0</v>
      </c>
      <c r="F83" s="98" t="s">
        <v>18</v>
      </c>
      <c r="G83" s="97" t="s">
        <v>19</v>
      </c>
      <c r="H83" s="99">
        <v>46083.0</v>
      </c>
      <c r="I83" s="99">
        <v>46111.0</v>
      </c>
      <c r="J83" s="94">
        <f t="shared" si="3"/>
        <v>29</v>
      </c>
      <c r="K83" s="100" t="str">
        <f t="shared" si="2"/>
        <v>lunes</v>
      </c>
      <c r="L83" s="101" t="s">
        <v>43</v>
      </c>
    </row>
    <row r="84" ht="19.5" hidden="1" customHeight="1">
      <c r="A84" s="37">
        <v>29.0</v>
      </c>
      <c r="B84" s="37" t="s">
        <v>15</v>
      </c>
      <c r="C84" s="38" t="s">
        <v>93</v>
      </c>
      <c r="D84" s="39" t="s">
        <v>94</v>
      </c>
      <c r="E84" s="40">
        <v>44481.0</v>
      </c>
      <c r="F84" s="41" t="s">
        <v>18</v>
      </c>
      <c r="G84" s="40" t="s">
        <v>19</v>
      </c>
      <c r="H84" s="42">
        <v>45705.0</v>
      </c>
      <c r="I84" s="42">
        <v>45712.0</v>
      </c>
      <c r="J84" s="37">
        <f t="shared" si="3"/>
        <v>8</v>
      </c>
      <c r="K84" s="34" t="str">
        <f t="shared" si="2"/>
        <v>lunes</v>
      </c>
      <c r="L84" s="34"/>
    </row>
    <row r="85" ht="19.5" hidden="1" customHeight="1">
      <c r="A85" s="43">
        <v>29.0</v>
      </c>
      <c r="B85" s="43" t="s">
        <v>15</v>
      </c>
      <c r="C85" s="44" t="s">
        <v>93</v>
      </c>
      <c r="D85" s="45" t="s">
        <v>94</v>
      </c>
      <c r="E85" s="46">
        <v>44481.0</v>
      </c>
      <c r="F85" s="47" t="s">
        <v>18</v>
      </c>
      <c r="G85" s="46" t="s">
        <v>19</v>
      </c>
      <c r="H85" s="48">
        <v>45792.0</v>
      </c>
      <c r="I85" s="48">
        <v>45798.0</v>
      </c>
      <c r="J85" s="43">
        <v>7.0</v>
      </c>
      <c r="K85" s="36" t="str">
        <f t="shared" si="2"/>
        <v>miércoles</v>
      </c>
      <c r="L85" s="36"/>
    </row>
    <row r="86" ht="19.5" hidden="1" customHeight="1">
      <c r="A86" s="37">
        <v>29.0</v>
      </c>
      <c r="B86" s="37" t="s">
        <v>15</v>
      </c>
      <c r="C86" s="38" t="s">
        <v>93</v>
      </c>
      <c r="D86" s="39" t="s">
        <v>94</v>
      </c>
      <c r="E86" s="40">
        <v>44481.0</v>
      </c>
      <c r="F86" s="41" t="s">
        <v>18</v>
      </c>
      <c r="G86" s="40" t="s">
        <v>19</v>
      </c>
      <c r="H86" s="42">
        <v>45876.0</v>
      </c>
      <c r="I86" s="42">
        <v>45890.0</v>
      </c>
      <c r="J86" s="37">
        <f t="shared" ref="J86:J122" si="4">+I86-H86+1</f>
        <v>15</v>
      </c>
      <c r="K86" s="34" t="str">
        <f t="shared" si="2"/>
        <v>jueves</v>
      </c>
      <c r="L86" s="34"/>
    </row>
    <row r="87" ht="19.5" hidden="1" customHeight="1">
      <c r="A87" s="102">
        <v>30.0</v>
      </c>
      <c r="B87" s="43" t="s">
        <v>15</v>
      </c>
      <c r="C87" s="103" t="s">
        <v>95</v>
      </c>
      <c r="D87" s="104" t="s">
        <v>96</v>
      </c>
      <c r="E87" s="90">
        <v>44200.0</v>
      </c>
      <c r="F87" s="105" t="s">
        <v>97</v>
      </c>
      <c r="G87" s="102" t="s">
        <v>19</v>
      </c>
      <c r="H87" s="48">
        <v>45859.0</v>
      </c>
      <c r="I87" s="48">
        <v>45873.0</v>
      </c>
      <c r="J87" s="43">
        <f t="shared" si="4"/>
        <v>15</v>
      </c>
      <c r="K87" s="36" t="str">
        <f t="shared" si="2"/>
        <v>lunes</v>
      </c>
      <c r="L87" s="36"/>
    </row>
    <row r="88" ht="19.5" hidden="1" customHeight="1">
      <c r="A88" s="106">
        <v>30.0</v>
      </c>
      <c r="B88" s="37" t="s">
        <v>15</v>
      </c>
      <c r="C88" s="107" t="s">
        <v>98</v>
      </c>
      <c r="D88" s="108" t="s">
        <v>96</v>
      </c>
      <c r="E88" s="109">
        <v>44200.0</v>
      </c>
      <c r="F88" s="110" t="s">
        <v>97</v>
      </c>
      <c r="G88" s="106" t="s">
        <v>19</v>
      </c>
      <c r="H88" s="49">
        <v>46013.0</v>
      </c>
      <c r="I88" s="49">
        <v>46027.0</v>
      </c>
      <c r="J88" s="37">
        <f t="shared" si="4"/>
        <v>15</v>
      </c>
      <c r="K88" s="34" t="str">
        <f t="shared" si="2"/>
        <v>lunes</v>
      </c>
      <c r="L88" s="34"/>
    </row>
    <row r="89" ht="19.5" hidden="1" customHeight="1">
      <c r="A89" s="102">
        <v>31.0</v>
      </c>
      <c r="B89" s="43" t="s">
        <v>15</v>
      </c>
      <c r="C89" s="44" t="s">
        <v>99</v>
      </c>
      <c r="D89" s="79" t="s">
        <v>100</v>
      </c>
      <c r="E89" s="46">
        <v>45057.0</v>
      </c>
      <c r="F89" s="80" t="s">
        <v>101</v>
      </c>
      <c r="G89" s="46" t="s">
        <v>19</v>
      </c>
      <c r="H89" s="81">
        <v>45712.0</v>
      </c>
      <c r="I89" s="81">
        <v>45718.0</v>
      </c>
      <c r="J89" s="43">
        <f t="shared" si="4"/>
        <v>7</v>
      </c>
      <c r="K89" s="36" t="str">
        <f t="shared" si="2"/>
        <v>domingo</v>
      </c>
      <c r="L89" s="36"/>
    </row>
    <row r="90" ht="19.5" hidden="1" customHeight="1">
      <c r="A90" s="106">
        <v>31.0</v>
      </c>
      <c r="B90" s="37" t="s">
        <v>15</v>
      </c>
      <c r="C90" s="38" t="s">
        <v>99</v>
      </c>
      <c r="D90" s="82" t="s">
        <v>100</v>
      </c>
      <c r="E90" s="40">
        <v>45057.0</v>
      </c>
      <c r="F90" s="83" t="s">
        <v>101</v>
      </c>
      <c r="G90" s="40" t="s">
        <v>19</v>
      </c>
      <c r="H90" s="42">
        <v>45853.0</v>
      </c>
      <c r="I90" s="42">
        <v>45860.0</v>
      </c>
      <c r="J90" s="37">
        <f t="shared" si="4"/>
        <v>8</v>
      </c>
      <c r="K90" s="34" t="str">
        <f t="shared" si="2"/>
        <v>martes</v>
      </c>
      <c r="L90" s="34"/>
    </row>
    <row r="91" ht="19.5" hidden="1" customHeight="1">
      <c r="A91" s="102">
        <v>31.0</v>
      </c>
      <c r="B91" s="43" t="s">
        <v>15</v>
      </c>
      <c r="C91" s="44" t="s">
        <v>99</v>
      </c>
      <c r="D91" s="79" t="s">
        <v>100</v>
      </c>
      <c r="E91" s="46">
        <v>45057.0</v>
      </c>
      <c r="F91" s="80" t="s">
        <v>101</v>
      </c>
      <c r="G91" s="46" t="s">
        <v>19</v>
      </c>
      <c r="H91" s="81">
        <v>45891.0</v>
      </c>
      <c r="I91" s="81">
        <v>45897.0</v>
      </c>
      <c r="J91" s="43">
        <f t="shared" si="4"/>
        <v>7</v>
      </c>
      <c r="K91" s="36" t="str">
        <f t="shared" si="2"/>
        <v>jueves</v>
      </c>
      <c r="L91" s="36"/>
    </row>
    <row r="92" ht="19.5" hidden="1" customHeight="1">
      <c r="A92" s="106">
        <v>31.0</v>
      </c>
      <c r="B92" s="37" t="s">
        <v>15</v>
      </c>
      <c r="C92" s="38" t="s">
        <v>99</v>
      </c>
      <c r="D92" s="82" t="s">
        <v>100</v>
      </c>
      <c r="E92" s="40">
        <v>45057.0</v>
      </c>
      <c r="F92" s="83" t="s">
        <v>101</v>
      </c>
      <c r="G92" s="40" t="s">
        <v>19</v>
      </c>
      <c r="H92" s="42">
        <v>45985.0</v>
      </c>
      <c r="I92" s="42">
        <v>45992.0</v>
      </c>
      <c r="J92" s="37">
        <f t="shared" si="4"/>
        <v>8</v>
      </c>
      <c r="K92" s="34" t="str">
        <f t="shared" si="2"/>
        <v>lunes</v>
      </c>
      <c r="L92" s="34"/>
    </row>
    <row r="93" ht="19.5" hidden="1" customHeight="1">
      <c r="A93" s="102">
        <v>32.0</v>
      </c>
      <c r="B93" s="43" t="s">
        <v>15</v>
      </c>
      <c r="C93" s="44" t="s">
        <v>102</v>
      </c>
      <c r="D93" s="45" t="s">
        <v>103</v>
      </c>
      <c r="E93" s="46">
        <v>43901.0</v>
      </c>
      <c r="F93" s="47" t="s">
        <v>18</v>
      </c>
      <c r="G93" s="46" t="s">
        <v>19</v>
      </c>
      <c r="H93" s="48">
        <v>45901.0</v>
      </c>
      <c r="I93" s="48">
        <v>45915.0</v>
      </c>
      <c r="J93" s="43">
        <f t="shared" si="4"/>
        <v>15</v>
      </c>
      <c r="K93" s="36" t="str">
        <f t="shared" si="2"/>
        <v>lunes</v>
      </c>
      <c r="L93" s="36"/>
    </row>
    <row r="94" ht="19.5" hidden="1" customHeight="1">
      <c r="A94" s="106">
        <v>32.0</v>
      </c>
      <c r="B94" s="37" t="s">
        <v>15</v>
      </c>
      <c r="C94" s="38" t="s">
        <v>102</v>
      </c>
      <c r="D94" s="39" t="s">
        <v>103</v>
      </c>
      <c r="E94" s="40">
        <v>43901.0</v>
      </c>
      <c r="F94" s="41" t="s">
        <v>18</v>
      </c>
      <c r="G94" s="40" t="s">
        <v>19</v>
      </c>
      <c r="H94" s="42">
        <v>46014.0</v>
      </c>
      <c r="I94" s="42">
        <v>46028.0</v>
      </c>
      <c r="J94" s="37">
        <f t="shared" si="4"/>
        <v>15</v>
      </c>
      <c r="K94" s="34" t="str">
        <f t="shared" si="2"/>
        <v>martes</v>
      </c>
      <c r="L94" s="111" t="s">
        <v>104</v>
      </c>
    </row>
    <row r="95" ht="19.5" customHeight="1">
      <c r="A95" s="84">
        <v>33.0</v>
      </c>
      <c r="B95" s="70" t="s">
        <v>15</v>
      </c>
      <c r="C95" s="71" t="s">
        <v>105</v>
      </c>
      <c r="D95" s="112" t="s">
        <v>106</v>
      </c>
      <c r="E95" s="73">
        <v>42522.0</v>
      </c>
      <c r="F95" s="113" t="s">
        <v>18</v>
      </c>
      <c r="G95" s="73" t="s">
        <v>19</v>
      </c>
      <c r="H95" s="75">
        <v>45887.0</v>
      </c>
      <c r="I95" s="75">
        <v>45900.0</v>
      </c>
      <c r="J95" s="70">
        <f t="shared" si="4"/>
        <v>14</v>
      </c>
      <c r="K95" s="76" t="str">
        <f t="shared" si="2"/>
        <v>domingo</v>
      </c>
      <c r="L95" s="36"/>
    </row>
    <row r="96" ht="19.5" customHeight="1">
      <c r="A96" s="84">
        <v>33.0</v>
      </c>
      <c r="B96" s="70" t="s">
        <v>15</v>
      </c>
      <c r="C96" s="71" t="s">
        <v>105</v>
      </c>
      <c r="D96" s="112" t="s">
        <v>106</v>
      </c>
      <c r="E96" s="73">
        <v>42522.0</v>
      </c>
      <c r="F96" s="113" t="s">
        <v>18</v>
      </c>
      <c r="G96" s="73" t="s">
        <v>19</v>
      </c>
      <c r="H96" s="75">
        <v>46013.0</v>
      </c>
      <c r="I96" s="75">
        <v>46028.0</v>
      </c>
      <c r="J96" s="70">
        <f t="shared" si="4"/>
        <v>16</v>
      </c>
      <c r="K96" s="76" t="str">
        <f t="shared" si="2"/>
        <v>martes</v>
      </c>
      <c r="L96" s="34"/>
    </row>
    <row r="97" ht="19.5" hidden="1" customHeight="1">
      <c r="A97" s="114">
        <v>34.0</v>
      </c>
      <c r="B97" s="60" t="s">
        <v>15</v>
      </c>
      <c r="C97" s="61" t="s">
        <v>107</v>
      </c>
      <c r="D97" s="62" t="s">
        <v>108</v>
      </c>
      <c r="E97" s="63">
        <v>41276.0</v>
      </c>
      <c r="F97" s="64" t="s">
        <v>109</v>
      </c>
      <c r="G97" s="63" t="s">
        <v>19</v>
      </c>
      <c r="H97" s="65">
        <v>45852.0</v>
      </c>
      <c r="I97" s="65">
        <v>45862.0</v>
      </c>
      <c r="J97" s="60">
        <f t="shared" si="4"/>
        <v>11</v>
      </c>
      <c r="K97" s="66" t="str">
        <f t="shared" si="2"/>
        <v>jueves</v>
      </c>
      <c r="L97" s="66"/>
    </row>
    <row r="98" ht="19.5" hidden="1" customHeight="1">
      <c r="A98" s="114">
        <v>34.0</v>
      </c>
      <c r="B98" s="60" t="s">
        <v>15</v>
      </c>
      <c r="C98" s="61" t="s">
        <v>107</v>
      </c>
      <c r="D98" s="62" t="s">
        <v>108</v>
      </c>
      <c r="E98" s="63">
        <v>41276.0</v>
      </c>
      <c r="F98" s="64" t="s">
        <v>109</v>
      </c>
      <c r="G98" s="63" t="s">
        <v>19</v>
      </c>
      <c r="H98" s="65">
        <v>45894.0</v>
      </c>
      <c r="I98" s="65">
        <v>45896.0</v>
      </c>
      <c r="J98" s="60">
        <f t="shared" si="4"/>
        <v>3</v>
      </c>
      <c r="K98" s="66" t="str">
        <f t="shared" si="2"/>
        <v>miércoles</v>
      </c>
      <c r="L98" s="67" t="s">
        <v>63</v>
      </c>
    </row>
    <row r="99" ht="19.5" hidden="1" customHeight="1">
      <c r="A99" s="114">
        <v>34.0</v>
      </c>
      <c r="B99" s="60" t="s">
        <v>15</v>
      </c>
      <c r="C99" s="61" t="s">
        <v>107</v>
      </c>
      <c r="D99" s="62" t="s">
        <v>108</v>
      </c>
      <c r="E99" s="63">
        <v>41276.0</v>
      </c>
      <c r="F99" s="64" t="s">
        <v>109</v>
      </c>
      <c r="G99" s="63" t="s">
        <v>19</v>
      </c>
      <c r="H99" s="65">
        <v>46006.0</v>
      </c>
      <c r="I99" s="68">
        <v>46021.0</v>
      </c>
      <c r="J99" s="60">
        <f t="shared" si="4"/>
        <v>16</v>
      </c>
      <c r="K99" s="66" t="str">
        <f t="shared" si="2"/>
        <v>martes</v>
      </c>
      <c r="L99" s="67" t="s">
        <v>21</v>
      </c>
    </row>
    <row r="100" ht="19.5" hidden="1" customHeight="1">
      <c r="A100" s="106">
        <v>35.0</v>
      </c>
      <c r="B100" s="37" t="s">
        <v>15</v>
      </c>
      <c r="C100" s="38" t="s">
        <v>110</v>
      </c>
      <c r="D100" s="82" t="s">
        <v>111</v>
      </c>
      <c r="E100" s="40">
        <v>41229.0</v>
      </c>
      <c r="F100" s="83" t="s">
        <v>24</v>
      </c>
      <c r="G100" s="40" t="s">
        <v>19</v>
      </c>
      <c r="H100" s="42">
        <v>45663.0</v>
      </c>
      <c r="I100" s="42">
        <v>45692.0</v>
      </c>
      <c r="J100" s="37">
        <f t="shared" si="4"/>
        <v>30</v>
      </c>
      <c r="K100" s="34" t="str">
        <f t="shared" si="2"/>
        <v>martes</v>
      </c>
      <c r="L100" s="34"/>
    </row>
    <row r="101" ht="19.5" hidden="1" customHeight="1">
      <c r="A101" s="84">
        <v>36.0</v>
      </c>
      <c r="B101" s="70" t="s">
        <v>15</v>
      </c>
      <c r="C101" s="71" t="s">
        <v>112</v>
      </c>
      <c r="D101" s="112" t="s">
        <v>113</v>
      </c>
      <c r="E101" s="73">
        <v>45118.0</v>
      </c>
      <c r="F101" s="113" t="s">
        <v>18</v>
      </c>
      <c r="G101" s="73" t="s">
        <v>19</v>
      </c>
      <c r="H101" s="75">
        <v>45719.0</v>
      </c>
      <c r="I101" s="75">
        <v>45733.0</v>
      </c>
      <c r="J101" s="70">
        <f t="shared" si="4"/>
        <v>15</v>
      </c>
      <c r="K101" s="76" t="str">
        <f t="shared" si="2"/>
        <v>lunes</v>
      </c>
      <c r="L101" s="76"/>
    </row>
    <row r="102" ht="19.5" hidden="1" customHeight="1">
      <c r="A102" s="84">
        <v>36.0</v>
      </c>
      <c r="B102" s="70" t="s">
        <v>15</v>
      </c>
      <c r="C102" s="71" t="s">
        <v>112</v>
      </c>
      <c r="D102" s="112" t="s">
        <v>113</v>
      </c>
      <c r="E102" s="73">
        <v>45118.0</v>
      </c>
      <c r="F102" s="113" t="s">
        <v>18</v>
      </c>
      <c r="G102" s="73" t="s">
        <v>20</v>
      </c>
      <c r="H102" s="77">
        <v>46001.0</v>
      </c>
      <c r="I102" s="77">
        <v>46015.0</v>
      </c>
      <c r="J102" s="70">
        <f t="shared" si="4"/>
        <v>15</v>
      </c>
      <c r="K102" s="76" t="str">
        <f t="shared" si="2"/>
        <v>miércoles</v>
      </c>
      <c r="L102" s="76"/>
    </row>
    <row r="103" ht="19.5" hidden="1" customHeight="1">
      <c r="A103" s="102">
        <v>37.0</v>
      </c>
      <c r="B103" s="43" t="s">
        <v>15</v>
      </c>
      <c r="C103" s="44" t="s">
        <v>114</v>
      </c>
      <c r="D103" s="45" t="s">
        <v>115</v>
      </c>
      <c r="E103" s="46">
        <v>41306.0</v>
      </c>
      <c r="F103" s="47" t="s">
        <v>18</v>
      </c>
      <c r="G103" s="46" t="s">
        <v>19</v>
      </c>
      <c r="H103" s="81">
        <v>45705.0</v>
      </c>
      <c r="I103" s="81">
        <v>45719.0</v>
      </c>
      <c r="J103" s="43">
        <f t="shared" si="4"/>
        <v>15</v>
      </c>
      <c r="K103" s="36" t="str">
        <f t="shared" si="2"/>
        <v>lunes</v>
      </c>
      <c r="L103" s="36"/>
    </row>
    <row r="104" ht="19.5" hidden="1" customHeight="1">
      <c r="A104" s="115">
        <v>38.0</v>
      </c>
      <c r="B104" s="50" t="s">
        <v>15</v>
      </c>
      <c r="C104" s="51" t="s">
        <v>116</v>
      </c>
      <c r="D104" s="116" t="s">
        <v>117</v>
      </c>
      <c r="E104" s="53">
        <v>45155.0</v>
      </c>
      <c r="F104" s="117" t="s">
        <v>18</v>
      </c>
      <c r="G104" s="53" t="s">
        <v>19</v>
      </c>
      <c r="H104" s="55">
        <v>45901.0</v>
      </c>
      <c r="I104" s="55">
        <v>45915.0</v>
      </c>
      <c r="J104" s="50">
        <f t="shared" si="4"/>
        <v>15</v>
      </c>
      <c r="K104" s="56" t="str">
        <f t="shared" si="2"/>
        <v>lunes</v>
      </c>
      <c r="L104" s="56"/>
    </row>
    <row r="105" ht="19.5" hidden="1" customHeight="1">
      <c r="A105" s="115">
        <v>38.0</v>
      </c>
      <c r="B105" s="50" t="s">
        <v>15</v>
      </c>
      <c r="C105" s="51" t="s">
        <v>118</v>
      </c>
      <c r="D105" s="116" t="s">
        <v>117</v>
      </c>
      <c r="E105" s="53">
        <v>45155.0</v>
      </c>
      <c r="F105" s="117" t="s">
        <v>18</v>
      </c>
      <c r="G105" s="53" t="s">
        <v>19</v>
      </c>
      <c r="H105" s="55">
        <v>46062.0</v>
      </c>
      <c r="I105" s="55">
        <v>46076.0</v>
      </c>
      <c r="J105" s="50">
        <f t="shared" si="4"/>
        <v>15</v>
      </c>
      <c r="K105" s="56" t="str">
        <f t="shared" si="2"/>
        <v>lunes</v>
      </c>
      <c r="L105" s="57" t="s">
        <v>43</v>
      </c>
    </row>
    <row r="106" ht="19.5" hidden="1" customHeight="1">
      <c r="A106" s="106">
        <v>39.0</v>
      </c>
      <c r="B106" s="37" t="s">
        <v>15</v>
      </c>
      <c r="C106" s="38" t="s">
        <v>119</v>
      </c>
      <c r="D106" s="39" t="s">
        <v>120</v>
      </c>
      <c r="E106" s="40">
        <v>41122.0</v>
      </c>
      <c r="F106" s="41" t="s">
        <v>18</v>
      </c>
      <c r="G106" s="40" t="s">
        <v>19</v>
      </c>
      <c r="H106" s="118">
        <v>45873.0</v>
      </c>
      <c r="I106" s="118">
        <v>45879.0</v>
      </c>
      <c r="J106" s="37">
        <f t="shared" si="4"/>
        <v>7</v>
      </c>
      <c r="K106" s="34" t="str">
        <f t="shared" si="2"/>
        <v>domingo</v>
      </c>
      <c r="L106" s="34"/>
    </row>
    <row r="107" ht="19.5" hidden="1" customHeight="1">
      <c r="A107" s="102">
        <v>39.0</v>
      </c>
      <c r="B107" s="43" t="s">
        <v>15</v>
      </c>
      <c r="C107" s="44" t="s">
        <v>119</v>
      </c>
      <c r="D107" s="45" t="s">
        <v>120</v>
      </c>
      <c r="E107" s="46">
        <v>41122.0</v>
      </c>
      <c r="F107" s="47" t="s">
        <v>18</v>
      </c>
      <c r="G107" s="46" t="s">
        <v>19</v>
      </c>
      <c r="H107" s="119">
        <v>45939.0</v>
      </c>
      <c r="I107" s="119">
        <v>45945.0</v>
      </c>
      <c r="J107" s="43">
        <f t="shared" si="4"/>
        <v>7</v>
      </c>
      <c r="K107" s="36" t="str">
        <f t="shared" si="2"/>
        <v>miércoles</v>
      </c>
      <c r="L107" s="36"/>
    </row>
    <row r="108" ht="19.5" hidden="1" customHeight="1">
      <c r="A108" s="106">
        <v>39.0</v>
      </c>
      <c r="B108" s="37" t="s">
        <v>15</v>
      </c>
      <c r="C108" s="38" t="s">
        <v>119</v>
      </c>
      <c r="D108" s="39" t="s">
        <v>120</v>
      </c>
      <c r="E108" s="40">
        <v>41122.0</v>
      </c>
      <c r="F108" s="41" t="s">
        <v>18</v>
      </c>
      <c r="G108" s="40" t="s">
        <v>19</v>
      </c>
      <c r="H108" s="42">
        <v>46027.0</v>
      </c>
      <c r="I108" s="42">
        <v>46042.0</v>
      </c>
      <c r="J108" s="37">
        <f t="shared" si="4"/>
        <v>16</v>
      </c>
      <c r="K108" s="34" t="str">
        <f t="shared" si="2"/>
        <v>martes</v>
      </c>
      <c r="L108" s="34"/>
    </row>
    <row r="109" ht="19.5" hidden="1" customHeight="1">
      <c r="A109" s="120">
        <v>40.0</v>
      </c>
      <c r="B109" s="121" t="s">
        <v>15</v>
      </c>
      <c r="C109" s="122" t="s">
        <v>121</v>
      </c>
      <c r="D109" s="123" t="s">
        <v>122</v>
      </c>
      <c r="E109" s="124">
        <v>43374.0</v>
      </c>
      <c r="F109" s="125" t="s">
        <v>123</v>
      </c>
      <c r="G109" s="124" t="s">
        <v>19</v>
      </c>
      <c r="H109" s="126">
        <v>45873.0</v>
      </c>
      <c r="I109" s="126">
        <v>45887.0</v>
      </c>
      <c r="J109" s="121">
        <f t="shared" si="4"/>
        <v>15</v>
      </c>
      <c r="K109" s="127" t="str">
        <f t="shared" si="2"/>
        <v>lunes</v>
      </c>
      <c r="L109" s="127"/>
    </row>
    <row r="110" ht="19.5" hidden="1" customHeight="1">
      <c r="A110" s="120">
        <v>40.0</v>
      </c>
      <c r="B110" s="121" t="s">
        <v>15</v>
      </c>
      <c r="C110" s="122" t="s">
        <v>121</v>
      </c>
      <c r="D110" s="123" t="s">
        <v>122</v>
      </c>
      <c r="E110" s="124">
        <v>43374.0</v>
      </c>
      <c r="F110" s="125" t="s">
        <v>123</v>
      </c>
      <c r="G110" s="124" t="s">
        <v>19</v>
      </c>
      <c r="H110" s="126">
        <v>45939.0</v>
      </c>
      <c r="I110" s="126">
        <v>45942.0</v>
      </c>
      <c r="J110" s="121">
        <f t="shared" si="4"/>
        <v>4</v>
      </c>
      <c r="K110" s="127" t="str">
        <f t="shared" si="2"/>
        <v>domingo</v>
      </c>
      <c r="L110" s="127"/>
    </row>
    <row r="111" ht="19.5" hidden="1" customHeight="1">
      <c r="A111" s="120">
        <v>40.0</v>
      </c>
      <c r="B111" s="121" t="s">
        <v>15</v>
      </c>
      <c r="C111" s="122" t="s">
        <v>124</v>
      </c>
      <c r="D111" s="123" t="s">
        <v>122</v>
      </c>
      <c r="E111" s="124">
        <v>43374.0</v>
      </c>
      <c r="F111" s="125" t="s">
        <v>123</v>
      </c>
      <c r="G111" s="124" t="s">
        <v>19</v>
      </c>
      <c r="H111" s="126">
        <v>45978.0</v>
      </c>
      <c r="I111" s="126">
        <v>45984.0</v>
      </c>
      <c r="J111" s="121">
        <f t="shared" si="4"/>
        <v>7</v>
      </c>
      <c r="K111" s="127" t="str">
        <f t="shared" si="2"/>
        <v>domingo</v>
      </c>
      <c r="L111" s="127"/>
    </row>
    <row r="112" ht="19.5" hidden="1" customHeight="1">
      <c r="A112" s="120">
        <v>40.0</v>
      </c>
      <c r="B112" s="121" t="s">
        <v>15</v>
      </c>
      <c r="C112" s="122" t="s">
        <v>124</v>
      </c>
      <c r="D112" s="123" t="s">
        <v>122</v>
      </c>
      <c r="E112" s="124">
        <v>43374.0</v>
      </c>
      <c r="F112" s="125" t="s">
        <v>123</v>
      </c>
      <c r="G112" s="124" t="s">
        <v>19</v>
      </c>
      <c r="H112" s="126">
        <v>46015.0</v>
      </c>
      <c r="I112" s="126">
        <v>46015.0</v>
      </c>
      <c r="J112" s="121">
        <f t="shared" si="4"/>
        <v>1</v>
      </c>
      <c r="K112" s="127" t="str">
        <f t="shared" si="2"/>
        <v>miércoles</v>
      </c>
      <c r="L112" s="128" t="s">
        <v>63</v>
      </c>
    </row>
    <row r="113" ht="19.5" hidden="1" customHeight="1">
      <c r="A113" s="120">
        <v>40.0</v>
      </c>
      <c r="B113" s="121" t="s">
        <v>15</v>
      </c>
      <c r="C113" s="122" t="s">
        <v>124</v>
      </c>
      <c r="D113" s="123" t="s">
        <v>122</v>
      </c>
      <c r="E113" s="124">
        <v>43374.0</v>
      </c>
      <c r="F113" s="125" t="s">
        <v>123</v>
      </c>
      <c r="G113" s="124" t="s">
        <v>19</v>
      </c>
      <c r="H113" s="126">
        <v>46028.0</v>
      </c>
      <c r="I113" s="126">
        <v>46030.0</v>
      </c>
      <c r="J113" s="121">
        <f t="shared" si="4"/>
        <v>3</v>
      </c>
      <c r="K113" s="127" t="str">
        <f t="shared" si="2"/>
        <v>jueves</v>
      </c>
      <c r="L113" s="128" t="s">
        <v>58</v>
      </c>
    </row>
    <row r="114" ht="19.5" hidden="1" customHeight="1">
      <c r="A114" s="106">
        <v>41.0</v>
      </c>
      <c r="B114" s="37" t="s">
        <v>15</v>
      </c>
      <c r="C114" s="38" t="s">
        <v>125</v>
      </c>
      <c r="D114" s="39" t="s">
        <v>126</v>
      </c>
      <c r="E114" s="40">
        <v>42027.0</v>
      </c>
      <c r="F114" s="41" t="s">
        <v>18</v>
      </c>
      <c r="G114" s="40" t="s">
        <v>19</v>
      </c>
      <c r="H114" s="42">
        <v>45719.0</v>
      </c>
      <c r="I114" s="42">
        <v>45733.0</v>
      </c>
      <c r="J114" s="37">
        <f t="shared" si="4"/>
        <v>15</v>
      </c>
      <c r="K114" s="34" t="str">
        <f t="shared" si="2"/>
        <v>lunes</v>
      </c>
      <c r="L114" s="34"/>
    </row>
    <row r="115" ht="19.5" hidden="1" customHeight="1">
      <c r="A115" s="102">
        <v>41.0</v>
      </c>
      <c r="B115" s="43" t="s">
        <v>15</v>
      </c>
      <c r="C115" s="44" t="s">
        <v>125</v>
      </c>
      <c r="D115" s="45" t="s">
        <v>126</v>
      </c>
      <c r="E115" s="46">
        <v>42027.0</v>
      </c>
      <c r="F115" s="47" t="s">
        <v>18</v>
      </c>
      <c r="G115" s="46" t="s">
        <v>19</v>
      </c>
      <c r="H115" s="81">
        <v>45775.0</v>
      </c>
      <c r="I115" s="81">
        <v>45789.0</v>
      </c>
      <c r="J115" s="43">
        <f t="shared" si="4"/>
        <v>15</v>
      </c>
      <c r="K115" s="36" t="str">
        <f t="shared" si="2"/>
        <v>lunes</v>
      </c>
      <c r="L115" s="36"/>
    </row>
    <row r="116" ht="19.5" hidden="1" customHeight="1">
      <c r="A116" s="106">
        <v>42.0</v>
      </c>
      <c r="B116" s="37" t="s">
        <v>15</v>
      </c>
      <c r="C116" s="38" t="s">
        <v>127</v>
      </c>
      <c r="D116" s="82" t="s">
        <v>128</v>
      </c>
      <c r="E116" s="40">
        <v>42326.0</v>
      </c>
      <c r="F116" s="83" t="s">
        <v>129</v>
      </c>
      <c r="G116" s="40" t="s">
        <v>19</v>
      </c>
      <c r="H116" s="42">
        <v>45666.0</v>
      </c>
      <c r="I116" s="42">
        <v>45684.0</v>
      </c>
      <c r="J116" s="37">
        <f t="shared" si="4"/>
        <v>19</v>
      </c>
      <c r="K116" s="34" t="str">
        <f t="shared" si="2"/>
        <v>lunes</v>
      </c>
      <c r="L116" s="34"/>
    </row>
    <row r="117" ht="19.5" hidden="1" customHeight="1">
      <c r="A117" s="102">
        <v>42.0</v>
      </c>
      <c r="B117" s="43" t="s">
        <v>15</v>
      </c>
      <c r="C117" s="44" t="s">
        <v>127</v>
      </c>
      <c r="D117" s="79" t="s">
        <v>128</v>
      </c>
      <c r="E117" s="46">
        <v>42326.0</v>
      </c>
      <c r="F117" s="80" t="s">
        <v>129</v>
      </c>
      <c r="G117" s="46" t="s">
        <v>19</v>
      </c>
      <c r="H117" s="81">
        <v>45796.0</v>
      </c>
      <c r="I117" s="81">
        <v>45806.0</v>
      </c>
      <c r="J117" s="43">
        <f t="shared" si="4"/>
        <v>11</v>
      </c>
      <c r="K117" s="36" t="str">
        <f t="shared" si="2"/>
        <v>jueves</v>
      </c>
      <c r="L117" s="36"/>
    </row>
    <row r="118" ht="16.5" hidden="1" customHeight="1">
      <c r="A118" s="115">
        <v>43.0</v>
      </c>
      <c r="B118" s="50" t="s">
        <v>15</v>
      </c>
      <c r="C118" s="51" t="s">
        <v>130</v>
      </c>
      <c r="D118" s="52" t="s">
        <v>131</v>
      </c>
      <c r="E118" s="53">
        <v>41883.0</v>
      </c>
      <c r="F118" s="54" t="s">
        <v>24</v>
      </c>
      <c r="G118" s="53" t="s">
        <v>19</v>
      </c>
      <c r="H118" s="129">
        <v>45966.0</v>
      </c>
      <c r="I118" s="55">
        <v>45972.0</v>
      </c>
      <c r="J118" s="50">
        <f t="shared" si="4"/>
        <v>7</v>
      </c>
      <c r="K118" s="56" t="str">
        <f t="shared" si="2"/>
        <v>martes</v>
      </c>
      <c r="L118" s="56"/>
    </row>
    <row r="119" ht="16.5" hidden="1" customHeight="1">
      <c r="A119" s="115">
        <v>43.0</v>
      </c>
      <c r="B119" s="50" t="s">
        <v>15</v>
      </c>
      <c r="C119" s="51" t="s">
        <v>130</v>
      </c>
      <c r="D119" s="52" t="s">
        <v>131</v>
      </c>
      <c r="E119" s="53">
        <v>41883.0</v>
      </c>
      <c r="F119" s="54" t="s">
        <v>24</v>
      </c>
      <c r="G119" s="53" t="s">
        <v>19</v>
      </c>
      <c r="H119" s="55">
        <v>46069.0</v>
      </c>
      <c r="I119" s="55">
        <v>46084.0</v>
      </c>
      <c r="J119" s="50">
        <f t="shared" si="4"/>
        <v>16</v>
      </c>
      <c r="K119" s="56" t="str">
        <f t="shared" si="2"/>
        <v>martes</v>
      </c>
      <c r="L119" s="57" t="s">
        <v>29</v>
      </c>
    </row>
    <row r="120" ht="16.5" hidden="1" customHeight="1">
      <c r="A120" s="106">
        <v>44.0</v>
      </c>
      <c r="B120" s="37" t="s">
        <v>15</v>
      </c>
      <c r="C120" s="38" t="s">
        <v>132</v>
      </c>
      <c r="D120" s="39" t="s">
        <v>133</v>
      </c>
      <c r="E120" s="40">
        <v>44608.0</v>
      </c>
      <c r="F120" s="41" t="s">
        <v>18</v>
      </c>
      <c r="G120" s="40" t="s">
        <v>19</v>
      </c>
      <c r="H120" s="42">
        <v>45958.0</v>
      </c>
      <c r="I120" s="42">
        <v>45972.0</v>
      </c>
      <c r="J120" s="37">
        <f t="shared" si="4"/>
        <v>15</v>
      </c>
      <c r="K120" s="34" t="str">
        <f t="shared" si="2"/>
        <v>martes</v>
      </c>
      <c r="L120" s="34"/>
    </row>
    <row r="121" ht="16.5" hidden="1" customHeight="1">
      <c r="A121" s="102">
        <v>44.0</v>
      </c>
      <c r="B121" s="43" t="s">
        <v>15</v>
      </c>
      <c r="C121" s="44" t="s">
        <v>132</v>
      </c>
      <c r="D121" s="45" t="s">
        <v>133</v>
      </c>
      <c r="E121" s="46">
        <v>44608.0</v>
      </c>
      <c r="F121" s="47" t="s">
        <v>18</v>
      </c>
      <c r="G121" s="46" t="s">
        <v>19</v>
      </c>
      <c r="H121" s="48">
        <v>46014.0</v>
      </c>
      <c r="I121" s="48">
        <v>46028.0</v>
      </c>
      <c r="J121" s="43">
        <f t="shared" si="4"/>
        <v>15</v>
      </c>
      <c r="K121" s="36" t="str">
        <f t="shared" si="2"/>
        <v>martes</v>
      </c>
      <c r="L121" s="36"/>
    </row>
    <row r="122" ht="16.5" hidden="1" customHeight="1">
      <c r="A122" s="106">
        <v>45.0</v>
      </c>
      <c r="B122" s="37" t="s">
        <v>15</v>
      </c>
      <c r="C122" s="38" t="s">
        <v>134</v>
      </c>
      <c r="D122" s="82" t="s">
        <v>135</v>
      </c>
      <c r="E122" s="40">
        <v>41229.0</v>
      </c>
      <c r="F122" s="83" t="s">
        <v>18</v>
      </c>
      <c r="G122" s="40" t="s">
        <v>19</v>
      </c>
      <c r="H122" s="40">
        <v>46006.0</v>
      </c>
      <c r="I122" s="40">
        <v>46035.0</v>
      </c>
      <c r="J122" s="37">
        <f t="shared" si="4"/>
        <v>30</v>
      </c>
      <c r="K122" s="34" t="str">
        <f t="shared" si="2"/>
        <v>martes</v>
      </c>
      <c r="L122" s="111" t="s">
        <v>136</v>
      </c>
    </row>
  </sheetData>
  <autoFilter ref="$A$7:$L$122">
    <filterColumn colId="3">
      <filters>
        <filter val="ROJAS SOPLIN EULER"/>
      </filters>
    </filterColumn>
  </autoFilter>
  <mergeCells count="3">
    <mergeCell ref="B2:I2"/>
    <mergeCell ref="A3:K3"/>
    <mergeCell ref="A5:K5"/>
  </mergeCells>
  <conditionalFormatting sqref="J8:J122 H117:I122">
    <cfRule type="cellIs" dxfId="1" priority="1" operator="lessThan">
      <formula>7</formula>
    </cfRule>
  </conditionalFormatting>
  <conditionalFormatting sqref="K6:K122">
    <cfRule type="cellIs" dxfId="1" priority="2" operator="equal">
      <formula>"sábado"</formula>
    </cfRule>
  </conditionalFormatting>
  <conditionalFormatting sqref="K6:K122">
    <cfRule type="cellIs" dxfId="1" priority="3" operator="equal">
      <formula>"viernes"</formula>
    </cfRule>
  </conditionalFormatting>
  <conditionalFormatting sqref="A8:K122">
    <cfRule type="expression" dxfId="2" priority="4">
      <formula>$D2="VACACIONES"</formula>
    </cfRule>
  </conditionalFormatting>
  <dataValidations>
    <dataValidation type="custom" allowBlank="1" showDropDown="1" sqref="E8:E122 G8:I122">
      <formula1>OR(NOT(ISERROR(DATEVALUE(E8))), AND(ISNUMBER(E8), LEFT(CELL("format", E8))="D"))</formula1>
    </dataValidation>
  </dataValidations>
  <printOptions/>
  <pageMargins bottom="0.7480314960629921" footer="0.0" header="0.0" left="0.7086614173228347" right="0.7086614173228347" top="0.7480314960629921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4.29"/>
    <col customWidth="1" min="2" max="2" width="21.29"/>
    <col customWidth="1" min="3" max="3" width="9.57"/>
    <col customWidth="1" min="4" max="4" width="36.43"/>
    <col customWidth="1" min="5" max="5" width="11.43"/>
    <col customWidth="1" min="6" max="6" width="41.29"/>
    <col customWidth="1" min="8" max="9" width="11.43"/>
    <col customWidth="1" min="10" max="10" width="8.71"/>
    <col customWidth="1" min="11" max="12" width="11.43"/>
  </cols>
  <sheetData>
    <row r="1" ht="16.5" hidden="1" customHeight="1">
      <c r="A1" s="1"/>
      <c r="B1" s="1"/>
      <c r="C1" s="1"/>
      <c r="D1" s="2"/>
      <c r="E1" s="1"/>
      <c r="F1" s="3"/>
      <c r="G1" s="4"/>
      <c r="H1" s="4"/>
      <c r="I1" s="4"/>
      <c r="J1" s="4"/>
      <c r="K1" s="4"/>
      <c r="L1" s="4"/>
    </row>
    <row r="2" ht="16.5" hidden="1" customHeight="1">
      <c r="A2" s="1"/>
      <c r="B2" s="5" t="s">
        <v>0</v>
      </c>
      <c r="J2" s="4"/>
      <c r="K2" s="4"/>
      <c r="L2" s="4"/>
    </row>
    <row r="3" ht="48.75" hidden="1" customHeight="1">
      <c r="A3" s="6" t="s">
        <v>1</v>
      </c>
      <c r="L3" s="6"/>
    </row>
    <row r="4" ht="16.5" hidden="1" customHeight="1">
      <c r="A4" s="6"/>
      <c r="B4" s="6"/>
      <c r="C4" s="6"/>
      <c r="D4" s="7"/>
      <c r="E4" s="6"/>
      <c r="F4" s="7"/>
      <c r="G4" s="6"/>
      <c r="H4" s="6"/>
      <c r="I4" s="6"/>
      <c r="J4" s="6"/>
      <c r="K4" s="6"/>
      <c r="L4" s="6"/>
    </row>
    <row r="5" ht="51.75" hidden="1" customHeight="1">
      <c r="A5" s="8" t="s">
        <v>2</v>
      </c>
      <c r="L5" s="130"/>
    </row>
    <row r="6" ht="59.25" hidden="1" customHeight="1">
      <c r="A6" s="9"/>
      <c r="B6" s="9"/>
      <c r="C6" s="10"/>
      <c r="D6" s="11"/>
      <c r="E6" s="9"/>
      <c r="F6" s="12"/>
      <c r="G6" s="9"/>
      <c r="H6" s="13"/>
      <c r="I6" s="13"/>
      <c r="J6" s="13"/>
      <c r="K6" s="13"/>
      <c r="L6" s="13"/>
    </row>
    <row r="7">
      <c r="A7" s="131" t="s">
        <v>3</v>
      </c>
      <c r="B7" s="132" t="s">
        <v>4</v>
      </c>
      <c r="C7" s="132" t="s">
        <v>5</v>
      </c>
      <c r="D7" s="132" t="s">
        <v>6</v>
      </c>
      <c r="E7" s="132" t="s">
        <v>7</v>
      </c>
      <c r="F7" s="132" t="s">
        <v>8</v>
      </c>
      <c r="G7" s="132" t="s">
        <v>9</v>
      </c>
      <c r="H7" s="132" t="s">
        <v>10</v>
      </c>
      <c r="I7" s="132" t="s">
        <v>11</v>
      </c>
      <c r="J7" s="132" t="s">
        <v>12</v>
      </c>
      <c r="K7" s="133" t="s">
        <v>13</v>
      </c>
      <c r="L7" s="134" t="s">
        <v>137</v>
      </c>
    </row>
    <row r="8" ht="19.5" customHeight="1">
      <c r="A8" s="106">
        <f>UTAB!A8</f>
        <v>1</v>
      </c>
      <c r="B8" s="106" t="str">
        <f>UTAB!B8</f>
        <v>UT AMAZONAS BAGUA</v>
      </c>
      <c r="C8" s="107" t="str">
        <f>UTAB!C8</f>
        <v>70080622</v>
      </c>
      <c r="D8" s="106" t="str">
        <f>UTAB!D8</f>
        <v>ACHA GUERRERO DAVID DENISS</v>
      </c>
      <c r="E8" s="109">
        <f>UTAB!E8</f>
        <v>42522</v>
      </c>
      <c r="F8" s="106" t="str">
        <f>UTAB!F8</f>
        <v>GESTOR LOCAL</v>
      </c>
      <c r="G8" s="109" t="str">
        <f>UTAB!G8</f>
        <v>2024-2025</v>
      </c>
      <c r="H8" s="109">
        <f>UTAB!H8</f>
        <v>45867</v>
      </c>
      <c r="I8" s="109">
        <f>UTAB!I8</f>
        <v>45881</v>
      </c>
      <c r="J8" s="37">
        <f t="shared" ref="J8:J77" si="1">+I8-H8+1</f>
        <v>15</v>
      </c>
      <c r="K8" s="34" t="str">
        <f t="shared" ref="K8:K113" si="2">TEXT(I8,"dddd")</f>
        <v>martes</v>
      </c>
      <c r="L8" s="135" t="str">
        <f t="shared" ref="L8:L113" si="3">IF(H8&gt;=TODAY(),"PENDIENTE","EJECUTADO")</f>
        <v>EJECUTADO</v>
      </c>
    </row>
    <row r="9" ht="19.5" customHeight="1">
      <c r="A9" s="102">
        <f>UTAB!A9</f>
        <v>1</v>
      </c>
      <c r="B9" s="102" t="str">
        <f>UTAB!B9</f>
        <v>UT AMAZONAS BAGUA</v>
      </c>
      <c r="C9" s="103" t="str">
        <f>UTAB!C9</f>
        <v>70080622</v>
      </c>
      <c r="D9" s="102" t="str">
        <f>UTAB!D9</f>
        <v>ACHA GUERRERO DAVID DENISS</v>
      </c>
      <c r="E9" s="90">
        <f>UTAB!E9</f>
        <v>42522</v>
      </c>
      <c r="F9" s="102" t="str">
        <f>UTAB!F9</f>
        <v>GESTOR LOCAL</v>
      </c>
      <c r="G9" s="90" t="str">
        <f>UTAB!G9</f>
        <v>2024-2026</v>
      </c>
      <c r="H9" s="90">
        <f>UTAB!H9</f>
        <v>46104</v>
      </c>
      <c r="I9" s="90">
        <f>UTAB!I9</f>
        <v>46118</v>
      </c>
      <c r="J9" s="43">
        <f t="shared" si="1"/>
        <v>15</v>
      </c>
      <c r="K9" s="36" t="str">
        <f t="shared" si="2"/>
        <v>lunes</v>
      </c>
      <c r="L9" s="136" t="str">
        <f t="shared" si="3"/>
        <v>PENDIENTE</v>
      </c>
    </row>
    <row r="10" ht="19.5" customHeight="1">
      <c r="A10" s="106">
        <f>UTAB!A10</f>
        <v>2</v>
      </c>
      <c r="B10" s="106" t="str">
        <f>UTAB!B10</f>
        <v>UT AMAZONAS BAGUA</v>
      </c>
      <c r="C10" s="107" t="str">
        <f>UTAB!C10</f>
        <v>08570047</v>
      </c>
      <c r="D10" s="106" t="str">
        <f>UTAB!D10</f>
        <v>AGUEDO CARBAJAL HUGO WILLIAM</v>
      </c>
      <c r="E10" s="109">
        <f>UTAB!E10</f>
        <v>42255</v>
      </c>
      <c r="F10" s="106" t="str">
        <f>UTAB!F10</f>
        <v>COORDINADOR TÉCNICO ZONAL</v>
      </c>
      <c r="G10" s="109" t="str">
        <f>UTAB!G10</f>
        <v>2024-2025</v>
      </c>
      <c r="H10" s="109">
        <f>UTAB!H10</f>
        <v>45733</v>
      </c>
      <c r="I10" s="109">
        <f>UTAB!I10</f>
        <v>45735</v>
      </c>
      <c r="J10" s="37">
        <f t="shared" si="1"/>
        <v>3</v>
      </c>
      <c r="K10" s="34" t="str">
        <f t="shared" si="2"/>
        <v>miércoles</v>
      </c>
      <c r="L10" s="135" t="str">
        <f t="shared" si="3"/>
        <v>EJECUTADO</v>
      </c>
    </row>
    <row r="11" ht="19.5" customHeight="1">
      <c r="A11" s="102">
        <f>UTAB!A11</f>
        <v>2</v>
      </c>
      <c r="B11" s="102" t="str">
        <f>UTAB!B11</f>
        <v>UT AMAZONAS BAGUA</v>
      </c>
      <c r="C11" s="103" t="str">
        <f>UTAB!C11</f>
        <v>08570047</v>
      </c>
      <c r="D11" s="102" t="str">
        <f>UTAB!D11</f>
        <v>AGUEDO CARBAJAL HUGO WILLIAM</v>
      </c>
      <c r="E11" s="90">
        <f>UTAB!E11</f>
        <v>42255</v>
      </c>
      <c r="F11" s="102" t="str">
        <f>UTAB!F11</f>
        <v>COORDINADOR TÉCNICO ZONAL</v>
      </c>
      <c r="G11" s="90" t="str">
        <f>UTAB!G11</f>
        <v>2024-2025</v>
      </c>
      <c r="H11" s="90">
        <f>UTAB!H11</f>
        <v>45945</v>
      </c>
      <c r="I11" s="90">
        <f>UTAB!I11</f>
        <v>45971</v>
      </c>
      <c r="J11" s="43">
        <f t="shared" si="1"/>
        <v>27</v>
      </c>
      <c r="K11" s="36" t="str">
        <f t="shared" si="2"/>
        <v>lunes</v>
      </c>
      <c r="L11" s="136" t="str">
        <f t="shared" si="3"/>
        <v>EJECUTADO</v>
      </c>
    </row>
    <row r="12" ht="19.5" customHeight="1">
      <c r="A12" s="106">
        <f>UTAB!A12</f>
        <v>3</v>
      </c>
      <c r="B12" s="106" t="str">
        <f>UTAB!B12</f>
        <v>UT AMAZONAS BAGUA</v>
      </c>
      <c r="C12" s="107" t="str">
        <f>UTAB!C12</f>
        <v>47014600</v>
      </c>
      <c r="D12" s="106" t="str">
        <f>UTAB!D12</f>
        <v>BERNILLA SANCHEZ JULIO CESAR</v>
      </c>
      <c r="E12" s="109">
        <f>UTAB!E12</f>
        <v>44621</v>
      </c>
      <c r="F12" s="106" t="str">
        <f>UTAB!F12</f>
        <v>GESTOR LOCAL</v>
      </c>
      <c r="G12" s="109" t="str">
        <f>UTAB!G12</f>
        <v>2024-2025</v>
      </c>
      <c r="H12" s="109">
        <f>UTAB!H12</f>
        <v>45659</v>
      </c>
      <c r="I12" s="109">
        <f>UTAB!I12</f>
        <v>45673</v>
      </c>
      <c r="J12" s="37">
        <f t="shared" si="1"/>
        <v>15</v>
      </c>
      <c r="K12" s="34" t="str">
        <f t="shared" si="2"/>
        <v>jueves</v>
      </c>
      <c r="L12" s="135" t="str">
        <f t="shared" si="3"/>
        <v>EJECUTADO</v>
      </c>
    </row>
    <row r="13" ht="19.5" customHeight="1">
      <c r="A13" s="102">
        <f>UTAB!A13</f>
        <v>3</v>
      </c>
      <c r="B13" s="102" t="str">
        <f>UTAB!B13</f>
        <v>UT AMAZONAS BAGUA</v>
      </c>
      <c r="C13" s="103" t="str">
        <f>UTAB!C13</f>
        <v>47014600</v>
      </c>
      <c r="D13" s="102" t="str">
        <f>UTAB!D13</f>
        <v>BERNILLA SANCHEZ JULIO CESAR</v>
      </c>
      <c r="E13" s="90">
        <f>UTAB!E13</f>
        <v>44621</v>
      </c>
      <c r="F13" s="102" t="str">
        <f>UTAB!F13</f>
        <v>GESTOR LOCAL</v>
      </c>
      <c r="G13" s="90" t="str">
        <f>UTAB!G13</f>
        <v>2024-2025</v>
      </c>
      <c r="H13" s="90">
        <f>UTAB!H13</f>
        <v>45868</v>
      </c>
      <c r="I13" s="90">
        <f>UTAB!I13</f>
        <v>45876</v>
      </c>
      <c r="J13" s="43">
        <f t="shared" si="1"/>
        <v>9</v>
      </c>
      <c r="K13" s="36" t="str">
        <f t="shared" si="2"/>
        <v>jueves</v>
      </c>
      <c r="L13" s="136" t="str">
        <f t="shared" si="3"/>
        <v>EJECUTADO</v>
      </c>
    </row>
    <row r="14" ht="19.5" customHeight="1">
      <c r="A14" s="106">
        <f>UTAB!A14</f>
        <v>3</v>
      </c>
      <c r="B14" s="106" t="str">
        <f>UTAB!B14</f>
        <v>UT AMAZONAS BAGUA</v>
      </c>
      <c r="C14" s="107" t="str">
        <f>UTAB!C14</f>
        <v>47014600</v>
      </c>
      <c r="D14" s="106" t="str">
        <f>UTAB!D14</f>
        <v>BERNILLA SANCHEZ JULIO CESAR</v>
      </c>
      <c r="E14" s="109">
        <f>UTAB!E14</f>
        <v>44621</v>
      </c>
      <c r="F14" s="106" t="str">
        <f>UTAB!F14</f>
        <v>GESTOR LOCAL</v>
      </c>
      <c r="G14" s="109" t="str">
        <f>UTAB!G14</f>
        <v>2024-2025</v>
      </c>
      <c r="H14" s="109">
        <f>UTAB!H14</f>
        <v>45973</v>
      </c>
      <c r="I14" s="109">
        <f>UTAB!I14</f>
        <v>45978</v>
      </c>
      <c r="J14" s="37">
        <f t="shared" si="1"/>
        <v>6</v>
      </c>
      <c r="K14" s="34" t="str">
        <f t="shared" si="2"/>
        <v>lunes</v>
      </c>
      <c r="L14" s="135" t="str">
        <f t="shared" si="3"/>
        <v>EJECUTADO</v>
      </c>
    </row>
    <row r="15" ht="19.5" customHeight="1">
      <c r="A15" s="102">
        <f>UTAB!A15</f>
        <v>4</v>
      </c>
      <c r="B15" s="102" t="str">
        <f>UTAB!B15</f>
        <v>UT AMAZONAS BAGUA</v>
      </c>
      <c r="C15" s="103" t="str">
        <f>UTAB!C15</f>
        <v>33781322</v>
      </c>
      <c r="D15" s="102" t="str">
        <f>UTAB!D15</f>
        <v>CACHAY VELA NERY MARLENITA</v>
      </c>
      <c r="E15" s="90">
        <f>UTAB!E15</f>
        <v>41229</v>
      </c>
      <c r="F15" s="102" t="str">
        <f>UTAB!F15</f>
        <v>GESTOR LOCAL</v>
      </c>
      <c r="G15" s="90" t="str">
        <f>UTAB!G15</f>
        <v>2024-2025</v>
      </c>
      <c r="H15" s="90">
        <f>UTAB!H15</f>
        <v>45908</v>
      </c>
      <c r="I15" s="90">
        <f>UTAB!I15</f>
        <v>45915</v>
      </c>
      <c r="J15" s="43">
        <f t="shared" si="1"/>
        <v>8</v>
      </c>
      <c r="K15" s="36" t="str">
        <f t="shared" si="2"/>
        <v>lunes</v>
      </c>
      <c r="L15" s="136" t="str">
        <f t="shared" si="3"/>
        <v>EJECUTADO</v>
      </c>
    </row>
    <row r="16" ht="19.5" customHeight="1">
      <c r="A16" s="106">
        <f>UTAB!A17</f>
        <v>4</v>
      </c>
      <c r="B16" s="106" t="str">
        <f>UTAB!B17</f>
        <v>UT AMAZONAS BAGUA</v>
      </c>
      <c r="C16" s="107" t="str">
        <f>UTAB!C17</f>
        <v>33781322</v>
      </c>
      <c r="D16" s="106" t="str">
        <f>UTAB!D17</f>
        <v>CACHAY VELA NERY MARLENITA</v>
      </c>
      <c r="E16" s="109">
        <f>UTAB!E17</f>
        <v>41229</v>
      </c>
      <c r="F16" s="106" t="str">
        <f>UTAB!F17</f>
        <v>GESTOR LOCAL</v>
      </c>
      <c r="G16" s="109" t="str">
        <f>UTAB!G17</f>
        <v>2024-2025</v>
      </c>
      <c r="H16" s="109">
        <f>UTAB!H17</f>
        <v>46272</v>
      </c>
      <c r="I16" s="109">
        <f>UTAB!I17</f>
        <v>46278</v>
      </c>
      <c r="J16" s="37">
        <f t="shared" si="1"/>
        <v>7</v>
      </c>
      <c r="K16" s="34" t="str">
        <f t="shared" si="2"/>
        <v>domingo</v>
      </c>
      <c r="L16" s="135" t="str">
        <f t="shared" si="3"/>
        <v>PENDIENTE</v>
      </c>
    </row>
    <row r="17" ht="19.5" customHeight="1">
      <c r="A17" s="102">
        <f>UTAB!A18</f>
        <v>5</v>
      </c>
      <c r="B17" s="102" t="str">
        <f>UTAB!B18</f>
        <v>UT AMAZONAS BAGUA</v>
      </c>
      <c r="C17" s="103" t="str">
        <f>UTAB!C18</f>
        <v>44858245</v>
      </c>
      <c r="D17" s="102" t="str">
        <f>UTAB!D18</f>
        <v>CALDERON SERVAN MILAGRITOS SOLEDAD</v>
      </c>
      <c r="E17" s="90">
        <f>UTAB!E18</f>
        <v>43313</v>
      </c>
      <c r="F17" s="102" t="str">
        <f>UTAB!F18</f>
        <v>GESTOR LOCAL</v>
      </c>
      <c r="G17" s="90" t="str">
        <f>UTAB!G18</f>
        <v>2024-2025</v>
      </c>
      <c r="H17" s="90">
        <f>UTAB!H18</f>
        <v>45870</v>
      </c>
      <c r="I17" s="90">
        <f>UTAB!I18</f>
        <v>45876</v>
      </c>
      <c r="J17" s="43">
        <f t="shared" si="1"/>
        <v>7</v>
      </c>
      <c r="K17" s="36" t="str">
        <f t="shared" si="2"/>
        <v>jueves</v>
      </c>
      <c r="L17" s="136" t="str">
        <f t="shared" si="3"/>
        <v>EJECUTADO</v>
      </c>
    </row>
    <row r="18" ht="19.5" customHeight="1">
      <c r="A18" s="106">
        <f>UTAB!A19</f>
        <v>5</v>
      </c>
      <c r="B18" s="106" t="str">
        <f>UTAB!B19</f>
        <v>UT AMAZONAS BAGUA</v>
      </c>
      <c r="C18" s="107" t="str">
        <f>UTAB!C19</f>
        <v>44858245</v>
      </c>
      <c r="D18" s="106" t="str">
        <f>UTAB!D19</f>
        <v>CALDERON SERVAN MILAGRITOS SOLEDAD</v>
      </c>
      <c r="E18" s="109">
        <f>UTAB!E19</f>
        <v>43313</v>
      </c>
      <c r="F18" s="106" t="str">
        <f>UTAB!F19</f>
        <v>GESTOR LOCAL</v>
      </c>
      <c r="G18" s="109" t="str">
        <f>UTAB!G19</f>
        <v>2024-2025</v>
      </c>
      <c r="H18" s="109">
        <f>UTAB!H19</f>
        <v>46020</v>
      </c>
      <c r="I18" s="109">
        <f>UTAB!I19</f>
        <v>46042</v>
      </c>
      <c r="J18" s="37">
        <f t="shared" si="1"/>
        <v>23</v>
      </c>
      <c r="K18" s="34" t="str">
        <f t="shared" si="2"/>
        <v>martes</v>
      </c>
      <c r="L18" s="135" t="str">
        <f t="shared" si="3"/>
        <v>EJECUTADO</v>
      </c>
    </row>
    <row r="19" ht="19.5" customHeight="1">
      <c r="A19" s="102">
        <f>UTAB!A20</f>
        <v>6</v>
      </c>
      <c r="B19" s="102" t="str">
        <f>UTAB!B20</f>
        <v>UT AMAZONAS BAGUA</v>
      </c>
      <c r="C19" s="103" t="str">
        <f>UTAB!C20</f>
        <v>33827197</v>
      </c>
      <c r="D19" s="102" t="str">
        <f>UTAB!D20</f>
        <v>CARRANZA ALARCON ISAIAS</v>
      </c>
      <c r="E19" s="90">
        <f>UTAB!E20</f>
        <v>41944</v>
      </c>
      <c r="F19" s="102" t="str">
        <f>UTAB!F20</f>
        <v>GESTOR LOCAL</v>
      </c>
      <c r="G19" s="90" t="str">
        <f>UTAB!G20</f>
        <v>2024-2025</v>
      </c>
      <c r="H19" s="90">
        <f>UTAB!H20</f>
        <v>45659</v>
      </c>
      <c r="I19" s="90">
        <f>UTAB!I20</f>
        <v>45680</v>
      </c>
      <c r="J19" s="43">
        <f t="shared" si="1"/>
        <v>22</v>
      </c>
      <c r="K19" s="36" t="str">
        <f t="shared" si="2"/>
        <v>jueves</v>
      </c>
      <c r="L19" s="136" t="str">
        <f t="shared" si="3"/>
        <v>EJECUTADO</v>
      </c>
    </row>
    <row r="20" ht="19.5" customHeight="1">
      <c r="A20" s="106">
        <f>UTAB!A21</f>
        <v>6</v>
      </c>
      <c r="B20" s="106" t="str">
        <f>UTAB!B21</f>
        <v>UT AMAZONAS BAGUA</v>
      </c>
      <c r="C20" s="107" t="str">
        <f>UTAB!C21</f>
        <v>33827197</v>
      </c>
      <c r="D20" s="106" t="str">
        <f>UTAB!D21</f>
        <v>CARRANZA ALARCON ISAIAS</v>
      </c>
      <c r="E20" s="109">
        <f>UTAB!E21</f>
        <v>41944</v>
      </c>
      <c r="F20" s="106" t="str">
        <f>UTAB!F21</f>
        <v>GESTOR LOCAL</v>
      </c>
      <c r="G20" s="109" t="str">
        <f>UTAB!G21</f>
        <v>2024-2025</v>
      </c>
      <c r="H20" s="109">
        <f>UTAB!H21</f>
        <v>45706</v>
      </c>
      <c r="I20" s="109">
        <f>UTAB!I21</f>
        <v>45707</v>
      </c>
      <c r="J20" s="37">
        <f t="shared" si="1"/>
        <v>2</v>
      </c>
      <c r="K20" s="34" t="str">
        <f t="shared" si="2"/>
        <v>miércoles</v>
      </c>
      <c r="L20" s="135" t="str">
        <f t="shared" si="3"/>
        <v>EJECUTADO</v>
      </c>
    </row>
    <row r="21" ht="19.5" customHeight="1">
      <c r="A21" s="102">
        <f>UTAB!A22</f>
        <v>6</v>
      </c>
      <c r="B21" s="102" t="str">
        <f>UTAB!B22</f>
        <v>UT AMAZONAS BAGUA</v>
      </c>
      <c r="C21" s="103" t="str">
        <f>UTAB!C22</f>
        <v>33827197</v>
      </c>
      <c r="D21" s="102" t="str">
        <f>UTAB!D22</f>
        <v>CARRANZA ALARCON ISAIAS</v>
      </c>
      <c r="E21" s="90">
        <f>UTAB!E22</f>
        <v>41944</v>
      </c>
      <c r="F21" s="102" t="str">
        <f>UTAB!F22</f>
        <v>GESTOR LOCAL</v>
      </c>
      <c r="G21" s="90" t="str">
        <f>UTAB!G22</f>
        <v>2024-2025</v>
      </c>
      <c r="H21" s="90">
        <f>UTAB!H22</f>
        <v>45874</v>
      </c>
      <c r="I21" s="90">
        <f>UTAB!I22</f>
        <v>45879</v>
      </c>
      <c r="J21" s="43">
        <f t="shared" si="1"/>
        <v>6</v>
      </c>
      <c r="K21" s="36" t="str">
        <f t="shared" si="2"/>
        <v>domingo</v>
      </c>
      <c r="L21" s="136" t="str">
        <f t="shared" si="3"/>
        <v>EJECUTADO</v>
      </c>
    </row>
    <row r="22" ht="19.5" customHeight="1">
      <c r="A22" s="106">
        <f>UTAB!A23</f>
        <v>7</v>
      </c>
      <c r="B22" s="106" t="str">
        <f>UTAB!B23</f>
        <v>UT AMAZONAS BAGUA</v>
      </c>
      <c r="C22" s="107" t="str">
        <f>UTAB!C23</f>
        <v>18142350</v>
      </c>
      <c r="D22" s="106" t="str">
        <f>UTAB!D23</f>
        <v>CARRASCAL CUEVA SANDRA ANGHELINA</v>
      </c>
      <c r="E22" s="109">
        <f>UTAB!E23</f>
        <v>42795</v>
      </c>
      <c r="F22" s="106" t="str">
        <f>UTAB!F23</f>
        <v>COMUNICADOR</v>
      </c>
      <c r="G22" s="109" t="str">
        <f>UTAB!G23</f>
        <v>2024-2025</v>
      </c>
      <c r="H22" s="109">
        <f>UTAB!H23</f>
        <v>45898</v>
      </c>
      <c r="I22" s="109">
        <f>UTAB!I23</f>
        <v>45900</v>
      </c>
      <c r="J22" s="37">
        <f t="shared" si="1"/>
        <v>3</v>
      </c>
      <c r="K22" s="34" t="str">
        <f t="shared" si="2"/>
        <v>domingo</v>
      </c>
      <c r="L22" s="135" t="str">
        <f t="shared" si="3"/>
        <v>EJECUTADO</v>
      </c>
    </row>
    <row r="23" ht="19.5" customHeight="1">
      <c r="A23" s="102">
        <f>UTAB!A24</f>
        <v>7</v>
      </c>
      <c r="B23" s="115" t="str">
        <f>UTAB!B24</f>
        <v>UT AMAZONAS BAGUA</v>
      </c>
      <c r="C23" s="137" t="str">
        <f>UTAB!C24</f>
        <v>18142350</v>
      </c>
      <c r="D23" s="115" t="str">
        <f>UTAB!D24</f>
        <v>CARRASCAL CUEVA SANDRA ANGHELINA</v>
      </c>
      <c r="E23" s="138">
        <f>UTAB!E24</f>
        <v>42795</v>
      </c>
      <c r="F23" s="115" t="str">
        <f>UTAB!F24</f>
        <v>COMUNICADOR</v>
      </c>
      <c r="G23" s="138" t="str">
        <f>UTAB!G24</f>
        <v>2024-2025</v>
      </c>
      <c r="H23" s="138">
        <f>UTAB!H24</f>
        <v>45967</v>
      </c>
      <c r="I23" s="138">
        <f>UTAB!I24</f>
        <v>45978</v>
      </c>
      <c r="J23" s="50">
        <f t="shared" si="1"/>
        <v>12</v>
      </c>
      <c r="K23" s="56" t="str">
        <f t="shared" si="2"/>
        <v>lunes</v>
      </c>
      <c r="L23" s="139" t="str">
        <f t="shared" si="3"/>
        <v>EJECUTADO</v>
      </c>
    </row>
    <row r="24" ht="19.5" customHeight="1">
      <c r="A24" s="106">
        <f>UTAB!A25</f>
        <v>7</v>
      </c>
      <c r="B24" s="106" t="str">
        <f>UTAB!B25</f>
        <v>UT AMAZONAS BAGUA</v>
      </c>
      <c r="C24" s="107" t="str">
        <f>UTAB!C25</f>
        <v>18142350</v>
      </c>
      <c r="D24" s="106" t="str">
        <f>UTAB!D25</f>
        <v>CARRASCAL CUEVA SANDRA ANGHELINA</v>
      </c>
      <c r="E24" s="109">
        <f>UTAB!E25</f>
        <v>42795</v>
      </c>
      <c r="F24" s="106" t="str">
        <f>UTAB!F25</f>
        <v>COMUNICADOR</v>
      </c>
      <c r="G24" s="109" t="str">
        <f>UTAB!G25</f>
        <v>2024-2025</v>
      </c>
      <c r="H24" s="109">
        <f>UTAB!H25</f>
        <v>46041</v>
      </c>
      <c r="I24" s="109">
        <f>UTAB!I25</f>
        <v>46047</v>
      </c>
      <c r="J24" s="37">
        <f t="shared" si="1"/>
        <v>7</v>
      </c>
      <c r="K24" s="34" t="str">
        <f t="shared" si="2"/>
        <v>domingo</v>
      </c>
      <c r="L24" s="135" t="str">
        <f t="shared" si="3"/>
        <v>EJECUTADO</v>
      </c>
    </row>
    <row r="25" ht="19.5" customHeight="1">
      <c r="A25" s="102">
        <f>UTAB!A28</f>
        <v>8</v>
      </c>
      <c r="B25" s="102" t="str">
        <f>UTAB!B28</f>
        <v>UT AMAZONAS BAGUA</v>
      </c>
      <c r="C25" s="103" t="str">
        <f>UTAB!C28</f>
        <v>44620331</v>
      </c>
      <c r="D25" s="102" t="str">
        <f>UTAB!D28</f>
        <v>CHAVEZ TORREJON LENER</v>
      </c>
      <c r="E25" s="90">
        <f>UTAB!E28</f>
        <v>42348</v>
      </c>
      <c r="F25" s="102" t="str">
        <f>UTAB!F28</f>
        <v>GESTOR LOCAL</v>
      </c>
      <c r="G25" s="90" t="str">
        <f>UTAB!G28</f>
        <v>2024-2025</v>
      </c>
      <c r="H25" s="90">
        <f>UTAB!H28</f>
        <v>46113</v>
      </c>
      <c r="I25" s="90">
        <f>UTAB!I28</f>
        <v>46127</v>
      </c>
      <c r="J25" s="43">
        <f t="shared" si="1"/>
        <v>15</v>
      </c>
      <c r="K25" s="36" t="str">
        <f t="shared" si="2"/>
        <v>miércoles</v>
      </c>
      <c r="L25" s="136" t="str">
        <f t="shared" si="3"/>
        <v>PENDIENTE</v>
      </c>
    </row>
    <row r="26" ht="19.5" customHeight="1">
      <c r="A26" s="106">
        <f>UTAB!A29</f>
        <v>9</v>
      </c>
      <c r="B26" s="106" t="str">
        <f>UTAB!B29</f>
        <v>UT AMAZONAS BAGUA</v>
      </c>
      <c r="C26" s="107" t="str">
        <f>UTAB!C29</f>
        <v>47191455</v>
      </c>
      <c r="D26" s="106" t="str">
        <f>UTAB!D29</f>
        <v>CORDOVA MARTINEZ DIANA CAROLINA</v>
      </c>
      <c r="E26" s="109">
        <f>UTAB!E29</f>
        <v>44853</v>
      </c>
      <c r="F26" s="106" t="str">
        <f>UTAB!F29</f>
        <v>GESTOR LOCAL - ZONA ALEJADA</v>
      </c>
      <c r="G26" s="109" t="str">
        <f>UTAB!G29</f>
        <v>2024-2025</v>
      </c>
      <c r="H26" s="109">
        <f>UTAB!H29</f>
        <v>45658</v>
      </c>
      <c r="I26" s="109">
        <f>UTAB!I29</f>
        <v>45672</v>
      </c>
      <c r="J26" s="37">
        <f t="shared" si="1"/>
        <v>15</v>
      </c>
      <c r="K26" s="34" t="str">
        <f t="shared" si="2"/>
        <v>miércoles</v>
      </c>
      <c r="L26" s="135" t="str">
        <f t="shared" si="3"/>
        <v>EJECUTADO</v>
      </c>
    </row>
    <row r="27" ht="19.5" customHeight="1">
      <c r="A27" s="102">
        <f>UTAB!A30</f>
        <v>9</v>
      </c>
      <c r="B27" s="102" t="str">
        <f>UTAB!B30</f>
        <v>UT AMAZONAS BAGUA</v>
      </c>
      <c r="C27" s="103" t="str">
        <f>UTAB!C30</f>
        <v>47191455</v>
      </c>
      <c r="D27" s="102" t="str">
        <f>UTAB!D30</f>
        <v>CORDOVA MARTINEZ DIANA CAROLINA</v>
      </c>
      <c r="E27" s="90">
        <f>UTAB!E30</f>
        <v>44853</v>
      </c>
      <c r="F27" s="102" t="str">
        <f>UTAB!F30</f>
        <v>GESTOR LOCAL - ZONA ALEJADA</v>
      </c>
      <c r="G27" s="90" t="str">
        <f>UTAB!G30</f>
        <v>2024-2025</v>
      </c>
      <c r="H27" s="90">
        <f>UTAB!H30</f>
        <v>46013</v>
      </c>
      <c r="I27" s="90">
        <f>UTAB!I30</f>
        <v>46027</v>
      </c>
      <c r="J27" s="43">
        <f t="shared" si="1"/>
        <v>15</v>
      </c>
      <c r="K27" s="36" t="str">
        <f t="shared" si="2"/>
        <v>lunes</v>
      </c>
      <c r="L27" s="136" t="str">
        <f t="shared" si="3"/>
        <v>EJECUTADO</v>
      </c>
    </row>
    <row r="28" ht="19.5" customHeight="1">
      <c r="A28" s="106">
        <f>UTAB!A31</f>
        <v>10</v>
      </c>
      <c r="B28" s="106" t="str">
        <f>UTAB!B31</f>
        <v>UT AMAZONAS BAGUA</v>
      </c>
      <c r="C28" s="107" t="str">
        <f>UTAB!C31</f>
        <v>46826581</v>
      </c>
      <c r="D28" s="106" t="str">
        <f>UTAB!D31</f>
        <v>CORDOVA ROSALES VICTOR BERTIN</v>
      </c>
      <c r="E28" s="109">
        <f>UTAB!E31</f>
        <v>44200</v>
      </c>
      <c r="F28" s="106" t="str">
        <f>UTAB!F31</f>
        <v>GESTOR LOCAL</v>
      </c>
      <c r="G28" s="109" t="str">
        <f>UTAB!G31</f>
        <v>2024-2025</v>
      </c>
      <c r="H28" s="109">
        <f>UTAB!H31</f>
        <v>45659</v>
      </c>
      <c r="I28" s="109">
        <f>UTAB!I31</f>
        <v>45673</v>
      </c>
      <c r="J28" s="37">
        <f t="shared" si="1"/>
        <v>15</v>
      </c>
      <c r="K28" s="34" t="str">
        <f t="shared" si="2"/>
        <v>jueves</v>
      </c>
      <c r="L28" s="135" t="str">
        <f t="shared" si="3"/>
        <v>EJECUTADO</v>
      </c>
    </row>
    <row r="29" ht="19.5" customHeight="1">
      <c r="A29" s="102">
        <f>UTAB!A32</f>
        <v>10</v>
      </c>
      <c r="B29" s="102" t="str">
        <f>UTAB!B32</f>
        <v>UT AMAZONAS BAGUA</v>
      </c>
      <c r="C29" s="103" t="str">
        <f>UTAB!C32</f>
        <v>46826581</v>
      </c>
      <c r="D29" s="102" t="str">
        <f>UTAB!D32</f>
        <v>CORDOVA ROSALES VICTOR BERTIN</v>
      </c>
      <c r="E29" s="90">
        <f>UTAB!E32</f>
        <v>44200</v>
      </c>
      <c r="F29" s="102" t="str">
        <f>UTAB!F32</f>
        <v>GESTOR LOCAL</v>
      </c>
      <c r="G29" s="90" t="str">
        <f>UTAB!G32</f>
        <v>2024-2025</v>
      </c>
      <c r="H29" s="90">
        <f>UTAB!H32</f>
        <v>45901</v>
      </c>
      <c r="I29" s="90">
        <f>UTAB!I32</f>
        <v>45915</v>
      </c>
      <c r="J29" s="43">
        <f t="shared" si="1"/>
        <v>15</v>
      </c>
      <c r="K29" s="36" t="str">
        <f t="shared" si="2"/>
        <v>lunes</v>
      </c>
      <c r="L29" s="136" t="str">
        <f t="shared" si="3"/>
        <v>EJECUTADO</v>
      </c>
    </row>
    <row r="30" ht="19.5" customHeight="1">
      <c r="A30" s="106">
        <f>UTAB!A33</f>
        <v>11</v>
      </c>
      <c r="B30" s="106" t="str">
        <f>UTAB!B33</f>
        <v>UT AMAZONAS BAGUA</v>
      </c>
      <c r="C30" s="107" t="str">
        <f>UTAB!C33</f>
        <v>46282107</v>
      </c>
      <c r="D30" s="106" t="str">
        <f>UTAB!D33</f>
        <v>CUEVA ALVAREZ RUTH YESSENIA</v>
      </c>
      <c r="E30" s="109">
        <f>UTAB!E33</f>
        <v>42373</v>
      </c>
      <c r="F30" s="106" t="str">
        <f>UTAB!F33</f>
        <v>TECNICO DE ORIENTACION Y ATENCION AL USUARIO</v>
      </c>
      <c r="G30" s="109" t="str">
        <f>UTAB!G33</f>
        <v>2024-2025</v>
      </c>
      <c r="H30" s="109">
        <f>UTAB!H33</f>
        <v>45728</v>
      </c>
      <c r="I30" s="109">
        <f>UTAB!I33</f>
        <v>45734</v>
      </c>
      <c r="J30" s="37">
        <f t="shared" si="1"/>
        <v>7</v>
      </c>
      <c r="K30" s="34" t="str">
        <f t="shared" si="2"/>
        <v>martes</v>
      </c>
      <c r="L30" s="135" t="str">
        <f t="shared" si="3"/>
        <v>EJECUTADO</v>
      </c>
    </row>
    <row r="31" ht="19.5" customHeight="1">
      <c r="A31" s="102">
        <f>UTAB!A34</f>
        <v>11</v>
      </c>
      <c r="B31" s="102" t="str">
        <f>UTAB!B34</f>
        <v>UT AMAZONAS BAGUA</v>
      </c>
      <c r="C31" s="103" t="str">
        <f>UTAB!C34</f>
        <v>46282107</v>
      </c>
      <c r="D31" s="102" t="str">
        <f>UTAB!D34</f>
        <v>CUEVA ALVAREZ RUTH YESSENIA</v>
      </c>
      <c r="E31" s="90">
        <f>UTAB!E34</f>
        <v>42373</v>
      </c>
      <c r="F31" s="102" t="str">
        <f>UTAB!F34</f>
        <v>TECNICO DE ORIENTACION Y ATENCION AL USUARIO</v>
      </c>
      <c r="G31" s="90" t="str">
        <f>UTAB!G34</f>
        <v>2024-2025</v>
      </c>
      <c r="H31" s="90">
        <f>UTAB!H34</f>
        <v>45782</v>
      </c>
      <c r="I31" s="90">
        <f>UTAB!I34</f>
        <v>45788</v>
      </c>
      <c r="J31" s="43">
        <f t="shared" si="1"/>
        <v>7</v>
      </c>
      <c r="K31" s="36" t="str">
        <f t="shared" si="2"/>
        <v>domingo</v>
      </c>
      <c r="L31" s="136" t="str">
        <f t="shared" si="3"/>
        <v>EJECUTADO</v>
      </c>
    </row>
    <row r="32" ht="19.5" customHeight="1">
      <c r="A32" s="106">
        <f>UTAB!A35</f>
        <v>11</v>
      </c>
      <c r="B32" s="106" t="str">
        <f>UTAB!B35</f>
        <v>UT AMAZONAS BAGUA</v>
      </c>
      <c r="C32" s="107" t="str">
        <f>UTAB!C35</f>
        <v>46282107</v>
      </c>
      <c r="D32" s="106" t="str">
        <f>UTAB!D35</f>
        <v>CUEVA ALVAREZ RUTH YESSENIA</v>
      </c>
      <c r="E32" s="109">
        <f>UTAB!E35</f>
        <v>42373</v>
      </c>
      <c r="F32" s="106" t="str">
        <f>UTAB!F35</f>
        <v>TECNICO DE ORIENTACION Y ATENCION AL USUARIO</v>
      </c>
      <c r="G32" s="109" t="str">
        <f>UTAB!G35</f>
        <v>2024-2025</v>
      </c>
      <c r="H32" s="109">
        <f>UTAB!H35</f>
        <v>45868</v>
      </c>
      <c r="I32" s="109">
        <f>UTAB!I35</f>
        <v>45874</v>
      </c>
      <c r="J32" s="37">
        <f t="shared" si="1"/>
        <v>7</v>
      </c>
      <c r="K32" s="34" t="str">
        <f t="shared" si="2"/>
        <v>martes</v>
      </c>
      <c r="L32" s="135" t="str">
        <f t="shared" si="3"/>
        <v>EJECUTADO</v>
      </c>
    </row>
    <row r="33" ht="19.5" customHeight="1">
      <c r="A33" s="102">
        <f>UTAB!A36</f>
        <v>11</v>
      </c>
      <c r="B33" s="102" t="str">
        <f>UTAB!B36</f>
        <v>UT AMAZONAS BAGUA</v>
      </c>
      <c r="C33" s="103" t="str">
        <f>UTAB!C36</f>
        <v>46282107</v>
      </c>
      <c r="D33" s="102" t="str">
        <f>UTAB!D36</f>
        <v>CUEVA ALVAREZ RUTH YESSENIA</v>
      </c>
      <c r="E33" s="90">
        <f>UTAB!E36</f>
        <v>42373</v>
      </c>
      <c r="F33" s="102" t="str">
        <f>UTAB!F36</f>
        <v>TECNICO DE ORIENTACION Y ATENCION AL USUARIO</v>
      </c>
      <c r="G33" s="90" t="str">
        <f>UTAB!G36</f>
        <v>2024-2025</v>
      </c>
      <c r="H33" s="90">
        <f>UTAB!H36</f>
        <v>46014</v>
      </c>
      <c r="I33" s="90">
        <f>UTAB!I36</f>
        <v>46022</v>
      </c>
      <c r="J33" s="43">
        <f t="shared" si="1"/>
        <v>9</v>
      </c>
      <c r="K33" s="36" t="str">
        <f t="shared" si="2"/>
        <v>miércoles</v>
      </c>
      <c r="L33" s="136" t="str">
        <f t="shared" si="3"/>
        <v>EJECUTADO</v>
      </c>
    </row>
    <row r="34" ht="19.5" customHeight="1">
      <c r="A34" s="106">
        <f>UTAB!A37</f>
        <v>12</v>
      </c>
      <c r="B34" s="106" t="str">
        <f>UTAB!B37</f>
        <v>UT AMAZONAS BAGUA</v>
      </c>
      <c r="C34" s="107" t="str">
        <f>UTAB!C37</f>
        <v>43209768</v>
      </c>
      <c r="D34" s="106" t="str">
        <f>UTAB!D37</f>
        <v>DAVILA BRAVO LIZ MARICLER</v>
      </c>
      <c r="E34" s="109">
        <f>UTAB!E37</f>
        <v>42737</v>
      </c>
      <c r="F34" s="106" t="str">
        <f>UTAB!F37</f>
        <v>GESTOR LOCAL</v>
      </c>
      <c r="G34" s="109" t="str">
        <f>UTAB!G37</f>
        <v>2024-2025</v>
      </c>
      <c r="H34" s="109">
        <f>UTAB!H37</f>
        <v>45659</v>
      </c>
      <c r="I34" s="109">
        <f>UTAB!I37</f>
        <v>45666</v>
      </c>
      <c r="J34" s="37">
        <f t="shared" si="1"/>
        <v>8</v>
      </c>
      <c r="K34" s="34" t="str">
        <f t="shared" si="2"/>
        <v>jueves</v>
      </c>
      <c r="L34" s="135" t="str">
        <f t="shared" si="3"/>
        <v>EJECUTADO</v>
      </c>
    </row>
    <row r="35" ht="19.5" customHeight="1">
      <c r="A35" s="102">
        <f>UTAB!A38</f>
        <v>12</v>
      </c>
      <c r="B35" s="102" t="str">
        <f>UTAB!B38</f>
        <v>UT AMAZONAS BAGUA</v>
      </c>
      <c r="C35" s="103" t="str">
        <f>UTAB!C38</f>
        <v>43209769</v>
      </c>
      <c r="D35" s="102" t="str">
        <f>UTAB!D38</f>
        <v>DAVILA BRAVO LIZ MARICLER</v>
      </c>
      <c r="E35" s="90">
        <f>UTAB!E38</f>
        <v>42737</v>
      </c>
      <c r="F35" s="102" t="str">
        <f>UTAB!F38</f>
        <v>GESTOR LOCAL</v>
      </c>
      <c r="G35" s="90" t="str">
        <f>UTAB!G38</f>
        <v>2024-2025</v>
      </c>
      <c r="H35" s="90">
        <f>UTAB!H38</f>
        <v>45733</v>
      </c>
      <c r="I35" s="90">
        <f>UTAB!I38</f>
        <v>45747</v>
      </c>
      <c r="J35" s="43">
        <f t="shared" si="1"/>
        <v>15</v>
      </c>
      <c r="K35" s="36" t="str">
        <f t="shared" si="2"/>
        <v>lunes</v>
      </c>
      <c r="L35" s="136" t="str">
        <f t="shared" si="3"/>
        <v>EJECUTADO</v>
      </c>
    </row>
    <row r="36" ht="19.5" customHeight="1">
      <c r="A36" s="106">
        <f>UTAB!A39</f>
        <v>12</v>
      </c>
      <c r="B36" s="106" t="str">
        <f>UTAB!B39</f>
        <v>UT AMAZONAS BAGUA</v>
      </c>
      <c r="C36" s="107" t="str">
        <f>UTAB!C39</f>
        <v>43209770</v>
      </c>
      <c r="D36" s="106" t="str">
        <f>UTAB!D39</f>
        <v>DAVILA BRAVO LIZ MARICLER</v>
      </c>
      <c r="E36" s="109">
        <f>UTAB!E39</f>
        <v>42737</v>
      </c>
      <c r="F36" s="106" t="str">
        <f>UTAB!F39</f>
        <v>GESTOR LOCAL</v>
      </c>
      <c r="G36" s="109" t="str">
        <f>UTAB!G39</f>
        <v>2024-2025</v>
      </c>
      <c r="H36" s="109">
        <f>UTAB!H39</f>
        <v>45911</v>
      </c>
      <c r="I36" s="109">
        <f>UTAB!I39</f>
        <v>45917</v>
      </c>
      <c r="J36" s="37">
        <f t="shared" si="1"/>
        <v>7</v>
      </c>
      <c r="K36" s="34" t="str">
        <f t="shared" si="2"/>
        <v>miércoles</v>
      </c>
      <c r="L36" s="135" t="str">
        <f t="shared" si="3"/>
        <v>EJECUTADO</v>
      </c>
    </row>
    <row r="37" ht="19.5" customHeight="1">
      <c r="A37" s="102">
        <f>UTAB!A40</f>
        <v>13</v>
      </c>
      <c r="B37" s="102" t="str">
        <f>UTAB!B40</f>
        <v>UT AMAZONAS BAGUA</v>
      </c>
      <c r="C37" s="103" t="str">
        <f>UTAB!C40</f>
        <v>45021141</v>
      </c>
      <c r="D37" s="102" t="str">
        <f>UTAB!D40</f>
        <v>DELGADO CASTAÑEDA EDWIN ROY</v>
      </c>
      <c r="E37" s="90">
        <f>UTAB!E40</f>
        <v>44601</v>
      </c>
      <c r="F37" s="102" t="str">
        <f>UTAB!F40</f>
        <v>GESTOR DE INFORMACIÓN</v>
      </c>
      <c r="G37" s="90" t="str">
        <f>UTAB!G40</f>
        <v>2024-2025</v>
      </c>
      <c r="H37" s="90">
        <f>UTAB!H40</f>
        <v>45698</v>
      </c>
      <c r="I37" s="90">
        <f>UTAB!I40</f>
        <v>45711</v>
      </c>
      <c r="J37" s="43">
        <f t="shared" si="1"/>
        <v>14</v>
      </c>
      <c r="K37" s="36" t="str">
        <f t="shared" si="2"/>
        <v>domingo</v>
      </c>
      <c r="L37" s="136" t="str">
        <f t="shared" si="3"/>
        <v>EJECUTADO</v>
      </c>
    </row>
    <row r="38" ht="19.5" customHeight="1">
      <c r="A38" s="106">
        <f>UTAB!A41</f>
        <v>13</v>
      </c>
      <c r="B38" s="106" t="str">
        <f>UTAB!B41</f>
        <v>UT AMAZONAS BAGUA</v>
      </c>
      <c r="C38" s="107" t="str">
        <f>UTAB!C41</f>
        <v>45021141</v>
      </c>
      <c r="D38" s="106" t="str">
        <f>UTAB!D41</f>
        <v>DELGADO CASTAÑEDA EDWIN ROY</v>
      </c>
      <c r="E38" s="109">
        <f>UTAB!E41</f>
        <v>44601</v>
      </c>
      <c r="F38" s="106" t="str">
        <f>UTAB!F41</f>
        <v>GESTOR DE INFORMACIÓN</v>
      </c>
      <c r="G38" s="109" t="str">
        <f>UTAB!G41</f>
        <v>2024-2025</v>
      </c>
      <c r="H38" s="109">
        <f>UTAB!H41</f>
        <v>45873</v>
      </c>
      <c r="I38" s="109">
        <f>UTAB!I41</f>
        <v>45879</v>
      </c>
      <c r="J38" s="37">
        <f t="shared" si="1"/>
        <v>7</v>
      </c>
      <c r="K38" s="34" t="str">
        <f t="shared" si="2"/>
        <v>domingo</v>
      </c>
      <c r="L38" s="135" t="str">
        <f t="shared" si="3"/>
        <v>EJECUTADO</v>
      </c>
    </row>
    <row r="39" ht="19.5" customHeight="1">
      <c r="A39" s="102">
        <f>UTAB!A43</f>
        <v>13</v>
      </c>
      <c r="B39" s="102" t="str">
        <f>UTAB!B43</f>
        <v>UT AMAZONAS BAGUA</v>
      </c>
      <c r="C39" s="103" t="str">
        <f>UTAB!C43</f>
        <v>45021141</v>
      </c>
      <c r="D39" s="102" t="str">
        <f>UTAB!D43</f>
        <v>DELGADO CASTAÑEDA EDWIN ROY</v>
      </c>
      <c r="E39" s="90">
        <f>UTAB!E43</f>
        <v>44601</v>
      </c>
      <c r="F39" s="102" t="str">
        <f>UTAB!F43</f>
        <v>GESTOR DE INFORMACIÓN</v>
      </c>
      <c r="G39" s="90" t="str">
        <f>UTAB!G43</f>
        <v>2024-2025</v>
      </c>
      <c r="H39" s="90">
        <f>UTAB!H43</f>
        <v>46030</v>
      </c>
      <c r="I39" s="90">
        <f>UTAB!I43</f>
        <v>46035</v>
      </c>
      <c r="J39" s="43">
        <f t="shared" si="1"/>
        <v>6</v>
      </c>
      <c r="K39" s="36" t="str">
        <f t="shared" si="2"/>
        <v>martes</v>
      </c>
      <c r="L39" s="136" t="str">
        <f t="shared" si="3"/>
        <v>EJECUTADO</v>
      </c>
    </row>
    <row r="40" ht="19.5" customHeight="1">
      <c r="A40" s="106">
        <f>UTAB!A44</f>
        <v>14</v>
      </c>
      <c r="B40" s="106" t="str">
        <f>UTAB!B44</f>
        <v>UT AMAZONAS BAGUA</v>
      </c>
      <c r="C40" s="107" t="str">
        <f>UTAB!C44</f>
        <v>48273365</v>
      </c>
      <c r="D40" s="106" t="str">
        <f>UTAB!D44</f>
        <v>EPIQUIEN TORREJON NESTOR CLAUMER</v>
      </c>
      <c r="E40" s="109">
        <f>UTAB!E44</f>
        <v>43193</v>
      </c>
      <c r="F40" s="106" t="str">
        <f>UTAB!F44</f>
        <v>GESTOR LOCAL</v>
      </c>
      <c r="G40" s="109" t="str">
        <f>UTAB!G44</f>
        <v>2024-2025</v>
      </c>
      <c r="H40" s="109">
        <f>UTAB!H44</f>
        <v>45659</v>
      </c>
      <c r="I40" s="109">
        <f>UTAB!I44</f>
        <v>45666</v>
      </c>
      <c r="J40" s="37">
        <f t="shared" si="1"/>
        <v>8</v>
      </c>
      <c r="K40" s="34" t="str">
        <f t="shared" si="2"/>
        <v>jueves</v>
      </c>
      <c r="L40" s="135" t="str">
        <f t="shared" si="3"/>
        <v>EJECUTADO</v>
      </c>
    </row>
    <row r="41" ht="19.5" customHeight="1">
      <c r="A41" s="102">
        <f>UTAB!A45</f>
        <v>14</v>
      </c>
      <c r="B41" s="102" t="str">
        <f>UTAB!B45</f>
        <v>UT AMAZONAS BAGUA</v>
      </c>
      <c r="C41" s="103" t="str">
        <f>UTAB!C45</f>
        <v>48273365</v>
      </c>
      <c r="D41" s="102" t="str">
        <f>UTAB!D45</f>
        <v>EPIQUIEN TORREJON NESTOR CLAUMER</v>
      </c>
      <c r="E41" s="90">
        <f>UTAB!E45</f>
        <v>43193</v>
      </c>
      <c r="F41" s="102" t="str">
        <f>UTAB!F45</f>
        <v>GESTOR LOCAL</v>
      </c>
      <c r="G41" s="90" t="str">
        <f>UTAB!G45</f>
        <v>2024-2025</v>
      </c>
      <c r="H41" s="90">
        <f>UTAB!H45</f>
        <v>46013</v>
      </c>
      <c r="I41" s="90">
        <f>UTAB!I45</f>
        <v>46027</v>
      </c>
      <c r="J41" s="43">
        <f t="shared" si="1"/>
        <v>15</v>
      </c>
      <c r="K41" s="36" t="str">
        <f t="shared" si="2"/>
        <v>lunes</v>
      </c>
      <c r="L41" s="136" t="str">
        <f t="shared" si="3"/>
        <v>EJECUTADO</v>
      </c>
    </row>
    <row r="42" ht="19.5" customHeight="1">
      <c r="A42" s="106">
        <f>UTAB!A47</f>
        <v>15</v>
      </c>
      <c r="B42" s="106" t="str">
        <f>UTAB!B47</f>
        <v>UT AMAZONAS BAGUA</v>
      </c>
      <c r="C42" s="107" t="str">
        <f>UTAB!C47</f>
        <v>33761726</v>
      </c>
      <c r="D42" s="106" t="str">
        <f>UTAB!D47</f>
        <v>ESPEJO SECUTA DAVID</v>
      </c>
      <c r="E42" s="109">
        <f>UTAB!E47</f>
        <v>41122</v>
      </c>
      <c r="F42" s="106" t="str">
        <f>UTAB!F47</f>
        <v>GESTOR LOCAL</v>
      </c>
      <c r="G42" s="109" t="str">
        <f>UTAB!G47</f>
        <v>2024-2025</v>
      </c>
      <c r="H42" s="109">
        <f>UTAB!H47</f>
        <v>45659</v>
      </c>
      <c r="I42" s="109">
        <f>UTAB!I47</f>
        <v>45673</v>
      </c>
      <c r="J42" s="37">
        <f t="shared" si="1"/>
        <v>15</v>
      </c>
      <c r="K42" s="34" t="str">
        <f t="shared" si="2"/>
        <v>jueves</v>
      </c>
      <c r="L42" s="135" t="str">
        <f t="shared" si="3"/>
        <v>EJECUTADO</v>
      </c>
    </row>
    <row r="43" ht="19.5" customHeight="1">
      <c r="A43" s="102">
        <f>UTAB!A48</f>
        <v>15</v>
      </c>
      <c r="B43" s="102" t="str">
        <f>UTAB!B48</f>
        <v>UT AMAZONAS BAGUA</v>
      </c>
      <c r="C43" s="103" t="str">
        <f>UTAB!C48</f>
        <v>33761726</v>
      </c>
      <c r="D43" s="102" t="str">
        <f>UTAB!D48</f>
        <v>ESPEJO SECUTA DAVID</v>
      </c>
      <c r="E43" s="90">
        <f>UTAB!E48</f>
        <v>41122</v>
      </c>
      <c r="F43" s="102" t="str">
        <f>UTAB!F48</f>
        <v>GESTOR LOCAL</v>
      </c>
      <c r="G43" s="90" t="str">
        <f>UTAB!G48</f>
        <v>2024-2025</v>
      </c>
      <c r="H43" s="90">
        <f>UTAB!H48</f>
        <v>45873</v>
      </c>
      <c r="I43" s="90">
        <f>UTAB!I48</f>
        <v>45887</v>
      </c>
      <c r="J43" s="43">
        <f t="shared" si="1"/>
        <v>15</v>
      </c>
      <c r="K43" s="36" t="str">
        <f t="shared" si="2"/>
        <v>lunes</v>
      </c>
      <c r="L43" s="136" t="str">
        <f t="shared" si="3"/>
        <v>EJECUTADO</v>
      </c>
    </row>
    <row r="44" ht="19.5" customHeight="1">
      <c r="A44" s="106">
        <f>UTAB!A49</f>
        <v>16</v>
      </c>
      <c r="B44" s="106" t="str">
        <f>UTAB!B49</f>
        <v>UT AMAZONAS BAGUA</v>
      </c>
      <c r="C44" s="107" t="str">
        <f>UTAB!C49</f>
        <v>42966029</v>
      </c>
      <c r="D44" s="106" t="str">
        <f>UTAB!D49</f>
        <v>FERNANDEZ SANCHEZ VICTOR RAUL</v>
      </c>
      <c r="E44" s="109">
        <f>UTAB!E49</f>
        <v>43193</v>
      </c>
      <c r="F44" s="106" t="str">
        <f>UTAB!F49</f>
        <v>GESTOR LOCAL</v>
      </c>
      <c r="G44" s="109" t="str">
        <f>UTAB!G49</f>
        <v>2024-2025</v>
      </c>
      <c r="H44" s="109">
        <f>UTAB!H49</f>
        <v>45698</v>
      </c>
      <c r="I44" s="109">
        <f>UTAB!I49</f>
        <v>45712</v>
      </c>
      <c r="J44" s="37">
        <f t="shared" si="1"/>
        <v>15</v>
      </c>
      <c r="K44" s="34" t="str">
        <f t="shared" si="2"/>
        <v>lunes</v>
      </c>
      <c r="L44" s="135" t="str">
        <f t="shared" si="3"/>
        <v>EJECUTADO</v>
      </c>
    </row>
    <row r="45" ht="19.5" customHeight="1">
      <c r="A45" s="102">
        <f>UTAB!A50</f>
        <v>16</v>
      </c>
      <c r="B45" s="102" t="str">
        <f>UTAB!B50</f>
        <v>UT AMAZONAS BAGUA</v>
      </c>
      <c r="C45" s="103" t="str">
        <f>UTAB!C50</f>
        <v>42966029</v>
      </c>
      <c r="D45" s="102" t="str">
        <f>UTAB!D50</f>
        <v>FERNANDEZ SANCHEZ VICTOR RAUL</v>
      </c>
      <c r="E45" s="90">
        <f>UTAB!E50</f>
        <v>43193</v>
      </c>
      <c r="F45" s="102" t="str">
        <f>UTAB!F50</f>
        <v>GESTOR LOCAL</v>
      </c>
      <c r="G45" s="90" t="str">
        <f>UTAB!G50</f>
        <v>2024-2025</v>
      </c>
      <c r="H45" s="90">
        <f>UTAB!H50</f>
        <v>45785</v>
      </c>
      <c r="I45" s="90">
        <f>UTAB!I50</f>
        <v>45791</v>
      </c>
      <c r="J45" s="43">
        <f t="shared" si="1"/>
        <v>7</v>
      </c>
      <c r="K45" s="36" t="str">
        <f t="shared" si="2"/>
        <v>miércoles</v>
      </c>
      <c r="L45" s="136" t="str">
        <f t="shared" si="3"/>
        <v>EJECUTADO</v>
      </c>
    </row>
    <row r="46" ht="19.5" customHeight="1">
      <c r="A46" s="106">
        <f>UTAB!A51</f>
        <v>16</v>
      </c>
      <c r="B46" s="106" t="str">
        <f>UTAB!B51</f>
        <v>UT AMAZONAS BAGUA</v>
      </c>
      <c r="C46" s="107" t="str">
        <f>UTAB!C51</f>
        <v>42966029</v>
      </c>
      <c r="D46" s="106" t="str">
        <f>UTAB!D51</f>
        <v>FERNANDEZ SANCHEZ VICTOR RAUL</v>
      </c>
      <c r="E46" s="109">
        <f>UTAB!E51</f>
        <v>43193</v>
      </c>
      <c r="F46" s="106" t="str">
        <f>UTAB!F51</f>
        <v>GESTOR LOCAL</v>
      </c>
      <c r="G46" s="109" t="str">
        <f>UTAB!G51</f>
        <v>2024-2025</v>
      </c>
      <c r="H46" s="109">
        <f>UTAB!H51</f>
        <v>45845</v>
      </c>
      <c r="I46" s="109">
        <f>UTAB!I51</f>
        <v>45846</v>
      </c>
      <c r="J46" s="37">
        <f t="shared" si="1"/>
        <v>2</v>
      </c>
      <c r="K46" s="34" t="str">
        <f t="shared" si="2"/>
        <v>martes</v>
      </c>
      <c r="L46" s="135" t="str">
        <f t="shared" si="3"/>
        <v>EJECUTADO</v>
      </c>
    </row>
    <row r="47" ht="19.5" customHeight="1">
      <c r="A47" s="102">
        <f>UTAB!A52</f>
        <v>16</v>
      </c>
      <c r="B47" s="102" t="str">
        <f>UTAB!B52</f>
        <v>UT AMAZONAS BAGUA</v>
      </c>
      <c r="C47" s="103" t="str">
        <f>UTAB!C52</f>
        <v>42966029</v>
      </c>
      <c r="D47" s="102" t="str">
        <f>UTAB!D52</f>
        <v>FERNANDEZ SANCHEZ VICTOR RAUL</v>
      </c>
      <c r="E47" s="90">
        <f>UTAB!E52</f>
        <v>43193</v>
      </c>
      <c r="F47" s="102" t="str">
        <f>UTAB!F52</f>
        <v>GESTOR LOCAL</v>
      </c>
      <c r="G47" s="90" t="str">
        <f>UTAB!G52</f>
        <v>2024-2025</v>
      </c>
      <c r="H47" s="90">
        <f>UTAB!H52</f>
        <v>45903</v>
      </c>
      <c r="I47" s="90">
        <f>UTAB!I52</f>
        <v>45908</v>
      </c>
      <c r="J47" s="43">
        <f t="shared" si="1"/>
        <v>6</v>
      </c>
      <c r="K47" s="36" t="str">
        <f t="shared" si="2"/>
        <v>lunes</v>
      </c>
      <c r="L47" s="136" t="str">
        <f t="shared" si="3"/>
        <v>EJECUTADO</v>
      </c>
    </row>
    <row r="48" ht="19.5" customHeight="1">
      <c r="A48" s="106">
        <f>UTAB!A53</f>
        <v>17</v>
      </c>
      <c r="B48" s="106" t="str">
        <f>UTAB!B53</f>
        <v>UT AMAZONAS BAGUA</v>
      </c>
      <c r="C48" s="107" t="str">
        <f>UTAB!C53</f>
        <v>44684018</v>
      </c>
      <c r="D48" s="106" t="str">
        <f>UTAB!D53</f>
        <v>GOMEZ VELAYSOSA ELFERES</v>
      </c>
      <c r="E48" s="109">
        <f>UTAB!E53</f>
        <v>44929</v>
      </c>
      <c r="F48" s="106" t="str">
        <f>UTAB!F53</f>
        <v>GESTOR LOCAL</v>
      </c>
      <c r="G48" s="109" t="str">
        <f>UTAB!G53</f>
        <v>2024-2025</v>
      </c>
      <c r="H48" s="109">
        <f>UTAB!H53</f>
        <v>45868</v>
      </c>
      <c r="I48" s="109">
        <f>UTAB!I53</f>
        <v>45879</v>
      </c>
      <c r="J48" s="37">
        <f t="shared" si="1"/>
        <v>12</v>
      </c>
      <c r="K48" s="34" t="str">
        <f t="shared" si="2"/>
        <v>domingo</v>
      </c>
      <c r="L48" s="135" t="str">
        <f t="shared" si="3"/>
        <v>EJECUTADO</v>
      </c>
    </row>
    <row r="49" ht="19.5" customHeight="1">
      <c r="A49" s="102">
        <f>UTAB!A54</f>
        <v>17</v>
      </c>
      <c r="B49" s="102" t="str">
        <f>UTAB!B54</f>
        <v>UT AMAZONAS BAGUA</v>
      </c>
      <c r="C49" s="103" t="str">
        <f>UTAB!C54</f>
        <v>44684018</v>
      </c>
      <c r="D49" s="102" t="str">
        <f>UTAB!D54</f>
        <v>GOMEZ VELAYSOSA ELFERES</v>
      </c>
      <c r="E49" s="90">
        <f>UTAB!E54</f>
        <v>44929</v>
      </c>
      <c r="F49" s="102" t="str">
        <f>UTAB!F54</f>
        <v>GESTOR LOCAL</v>
      </c>
      <c r="G49" s="90" t="str">
        <f>UTAB!G54</f>
        <v>2024-2025</v>
      </c>
      <c r="H49" s="90">
        <f>UTAB!H54</f>
        <v>46017</v>
      </c>
      <c r="I49" s="90">
        <f>UTAB!I54</f>
        <v>46035</v>
      </c>
      <c r="J49" s="43">
        <f t="shared" si="1"/>
        <v>19</v>
      </c>
      <c r="K49" s="36" t="str">
        <f t="shared" si="2"/>
        <v>martes</v>
      </c>
      <c r="L49" s="136" t="str">
        <f t="shared" si="3"/>
        <v>EJECUTADO</v>
      </c>
    </row>
    <row r="50" ht="19.5" customHeight="1">
      <c r="A50" s="106">
        <f>UTAB!A55</f>
        <v>18</v>
      </c>
      <c r="B50" s="106" t="str">
        <f>UTAB!B55</f>
        <v>UT AMAZONAS BAGUA</v>
      </c>
      <c r="C50" s="107" t="str">
        <f>UTAB!C55</f>
        <v>60355224</v>
      </c>
      <c r="D50" s="106" t="str">
        <f>UTAB!D55</f>
        <v>GONZALES QUINTANA KELLY MELISSA</v>
      </c>
      <c r="E50" s="109">
        <f>UTAB!E55</f>
        <v>45232</v>
      </c>
      <c r="F50" s="106" t="str">
        <f>UTAB!F55</f>
        <v>ASISTENTE ADMINISTRATIVO</v>
      </c>
      <c r="G50" s="109" t="str">
        <f>UTAB!G55</f>
        <v>2024-2024</v>
      </c>
      <c r="H50" s="109">
        <f>UTAB!H55</f>
        <v>45503</v>
      </c>
      <c r="I50" s="109">
        <f>UTAB!I55</f>
        <v>45509</v>
      </c>
      <c r="J50" s="37">
        <f t="shared" si="1"/>
        <v>7</v>
      </c>
      <c r="K50" s="34" t="str">
        <f t="shared" si="2"/>
        <v>lunes</v>
      </c>
      <c r="L50" s="135" t="str">
        <f t="shared" si="3"/>
        <v>EJECUTADO</v>
      </c>
    </row>
    <row r="51" ht="19.5" customHeight="1">
      <c r="A51" s="102">
        <f>UTAB!A56</f>
        <v>18</v>
      </c>
      <c r="B51" s="102" t="str">
        <f>UTAB!B56</f>
        <v>UT AMAZONAS BAGUA</v>
      </c>
      <c r="C51" s="103" t="str">
        <f>UTAB!C56</f>
        <v>60355225</v>
      </c>
      <c r="D51" s="102" t="str">
        <f>UTAB!D56</f>
        <v>GONZALES QUINTANA KELLY MELISSA</v>
      </c>
      <c r="E51" s="90">
        <f>UTAB!E56</f>
        <v>45232</v>
      </c>
      <c r="F51" s="102" t="str">
        <f>UTAB!F56</f>
        <v>ASISTENTE ADMINISTRATIVO</v>
      </c>
      <c r="G51" s="90" t="str">
        <f>UTAB!G56</f>
        <v>2024-2025</v>
      </c>
      <c r="H51" s="90">
        <f>UTAB!H56</f>
        <v>45701</v>
      </c>
      <c r="I51" s="90">
        <f>UTAB!I56</f>
        <v>45708</v>
      </c>
      <c r="J51" s="43">
        <f t="shared" si="1"/>
        <v>8</v>
      </c>
      <c r="K51" s="36" t="str">
        <f t="shared" si="2"/>
        <v>jueves</v>
      </c>
      <c r="L51" s="136" t="str">
        <f t="shared" si="3"/>
        <v>EJECUTADO</v>
      </c>
    </row>
    <row r="52" ht="19.5" customHeight="1">
      <c r="A52" s="106">
        <f>UTAB!A57</f>
        <v>18</v>
      </c>
      <c r="B52" s="106" t="str">
        <f>UTAB!B57</f>
        <v>UT AMAZONAS BAGUA</v>
      </c>
      <c r="C52" s="107" t="str">
        <f>UTAB!C57</f>
        <v>60355225</v>
      </c>
      <c r="D52" s="106" t="str">
        <f>UTAB!D57</f>
        <v>GONZALES QUINTANA KELLY MELISSA</v>
      </c>
      <c r="E52" s="109">
        <f>UTAB!E57</f>
        <v>45232</v>
      </c>
      <c r="F52" s="106" t="str">
        <f>UTAB!F57</f>
        <v>ASISTENTE ADMINISTRATIVO</v>
      </c>
      <c r="G52" s="109" t="str">
        <f>UTAB!G57</f>
        <v>2024-2025</v>
      </c>
      <c r="H52" s="109">
        <f>UTAB!H57</f>
        <v>45876</v>
      </c>
      <c r="I52" s="109">
        <f>UTAB!I57</f>
        <v>45882</v>
      </c>
      <c r="J52" s="37">
        <f t="shared" si="1"/>
        <v>7</v>
      </c>
      <c r="K52" s="34" t="str">
        <f t="shared" si="2"/>
        <v>miércoles</v>
      </c>
      <c r="L52" s="135" t="str">
        <f t="shared" si="3"/>
        <v>EJECUTADO</v>
      </c>
    </row>
    <row r="53" ht="19.5" customHeight="1">
      <c r="A53" s="102">
        <f>UTAB!A58</f>
        <v>18</v>
      </c>
      <c r="B53" s="102" t="str">
        <f>UTAB!B58</f>
        <v>UT AMAZONAS BAGUA</v>
      </c>
      <c r="C53" s="103" t="str">
        <f>UTAB!C58</f>
        <v>60355225</v>
      </c>
      <c r="D53" s="102" t="str">
        <f>UTAB!D58</f>
        <v>GONZALES QUINTANA KELLY MELISSA</v>
      </c>
      <c r="E53" s="90">
        <f>UTAB!E58</f>
        <v>45232</v>
      </c>
      <c r="F53" s="102" t="str">
        <f>UTAB!F58</f>
        <v>ASISTENTE ADMINISTRATIVO</v>
      </c>
      <c r="G53" s="90" t="str">
        <f>UTAB!G58</f>
        <v>2024-2025</v>
      </c>
      <c r="H53" s="90">
        <f>UTAB!H58</f>
        <v>46015</v>
      </c>
      <c r="I53" s="90">
        <f>UTAB!I58</f>
        <v>46022</v>
      </c>
      <c r="J53" s="43">
        <f t="shared" si="1"/>
        <v>8</v>
      </c>
      <c r="K53" s="36" t="str">
        <f t="shared" si="2"/>
        <v>miércoles</v>
      </c>
      <c r="L53" s="136" t="str">
        <f t="shared" si="3"/>
        <v>EJECUTADO</v>
      </c>
    </row>
    <row r="54" ht="19.5" customHeight="1">
      <c r="A54" s="106">
        <f>UTAB!A59</f>
        <v>19</v>
      </c>
      <c r="B54" s="106" t="str">
        <f>UTAB!B59</f>
        <v>UT AMAZONAS BAGUA</v>
      </c>
      <c r="C54" s="107" t="str">
        <f>UTAB!C59</f>
        <v>70087004</v>
      </c>
      <c r="D54" s="106" t="str">
        <f>UTAB!D59</f>
        <v>GUERRERO RIOJAS HARWIN EDUARDO</v>
      </c>
      <c r="E54" s="109">
        <f>UTAB!E59</f>
        <v>43605</v>
      </c>
      <c r="F54" s="106" t="str">
        <f>UTAB!F59</f>
        <v>GESTOR LOCAL</v>
      </c>
      <c r="G54" s="109" t="str">
        <f>UTAB!G59</f>
        <v>2024-2025</v>
      </c>
      <c r="H54" s="109">
        <f>UTAB!H59</f>
        <v>45845</v>
      </c>
      <c r="I54" s="109">
        <f>UTAB!I59</f>
        <v>45854</v>
      </c>
      <c r="J54" s="37">
        <f t="shared" si="1"/>
        <v>10</v>
      </c>
      <c r="K54" s="34" t="str">
        <f t="shared" si="2"/>
        <v>miércoles</v>
      </c>
      <c r="L54" s="135" t="str">
        <f t="shared" si="3"/>
        <v>EJECUTADO</v>
      </c>
    </row>
    <row r="55" ht="19.5" customHeight="1">
      <c r="A55" s="102">
        <f>UTAB!A60</f>
        <v>19</v>
      </c>
      <c r="B55" s="102" t="str">
        <f>UTAB!B60</f>
        <v>UT AMAZONAS BAGUA</v>
      </c>
      <c r="C55" s="103" t="str">
        <f>UTAB!C60</f>
        <v>70087004</v>
      </c>
      <c r="D55" s="102" t="str">
        <f>UTAB!D60</f>
        <v>GUERRERO RIOJAS HARWIN EDUARDO</v>
      </c>
      <c r="E55" s="90">
        <f>UTAB!E60</f>
        <v>43605</v>
      </c>
      <c r="F55" s="102" t="str">
        <f>UTAB!F60</f>
        <v>GESTOR LOCAL</v>
      </c>
      <c r="G55" s="90" t="str">
        <f>UTAB!G60</f>
        <v>2024-2025</v>
      </c>
      <c r="H55" s="90">
        <f>UTAB!H60</f>
        <v>45905</v>
      </c>
      <c r="I55" s="90">
        <f>UTAB!I60</f>
        <v>45914</v>
      </c>
      <c r="J55" s="43">
        <f t="shared" si="1"/>
        <v>10</v>
      </c>
      <c r="K55" s="36" t="str">
        <f t="shared" si="2"/>
        <v>domingo</v>
      </c>
      <c r="L55" s="136" t="str">
        <f t="shared" si="3"/>
        <v>EJECUTADO</v>
      </c>
    </row>
    <row r="56" ht="19.5" customHeight="1">
      <c r="A56" s="106">
        <f>UTAB!A61</f>
        <v>19</v>
      </c>
      <c r="B56" s="106" t="str">
        <f>UTAB!B61</f>
        <v>UT AMAZONAS BAGUA</v>
      </c>
      <c r="C56" s="107" t="str">
        <f>UTAB!C61</f>
        <v>70087004</v>
      </c>
      <c r="D56" s="106" t="str">
        <f>UTAB!D61</f>
        <v>GUERRERO RIOJAS HARWIN EDUARDO</v>
      </c>
      <c r="E56" s="109">
        <f>UTAB!E61</f>
        <v>43605</v>
      </c>
      <c r="F56" s="106" t="str">
        <f>UTAB!F61</f>
        <v>GESTOR LOCAL</v>
      </c>
      <c r="G56" s="109" t="str">
        <f>UTAB!G61</f>
        <v>2024-2025</v>
      </c>
      <c r="H56" s="109">
        <f>UTAB!H61</f>
        <v>46010</v>
      </c>
      <c r="I56" s="109">
        <f>UTAB!I61</f>
        <v>46019</v>
      </c>
      <c r="J56" s="37">
        <f t="shared" si="1"/>
        <v>10</v>
      </c>
      <c r="K56" s="34" t="str">
        <f t="shared" si="2"/>
        <v>domingo</v>
      </c>
      <c r="L56" s="135" t="str">
        <f t="shared" si="3"/>
        <v>EJECUTADO</v>
      </c>
    </row>
    <row r="57" ht="19.5" customHeight="1">
      <c r="A57" s="102">
        <f>UTAB!A62</f>
        <v>20</v>
      </c>
      <c r="B57" s="102" t="str">
        <f>UTAB!B62</f>
        <v>UT AMAZONAS BAGUA</v>
      </c>
      <c r="C57" s="103" t="str">
        <f>UTAB!C62</f>
        <v>42001203</v>
      </c>
      <c r="D57" s="102" t="str">
        <f>UTAB!D62</f>
        <v>GUEVARA GARCIA YULI ELIZABETH</v>
      </c>
      <c r="E57" s="90">
        <f>UTAB!E62</f>
        <v>44914</v>
      </c>
      <c r="F57" s="102" t="str">
        <f>UTAB!F62</f>
        <v>GESTOR LOCAL</v>
      </c>
      <c r="G57" s="90" t="str">
        <f>UTAB!G62</f>
        <v>2024-2025</v>
      </c>
      <c r="H57" s="90">
        <f>UTAB!H62</f>
        <v>45659</v>
      </c>
      <c r="I57" s="90">
        <f>UTAB!I62</f>
        <v>45673</v>
      </c>
      <c r="J57" s="43">
        <f t="shared" si="1"/>
        <v>15</v>
      </c>
      <c r="K57" s="36" t="str">
        <f t="shared" si="2"/>
        <v>jueves</v>
      </c>
      <c r="L57" s="136" t="str">
        <f t="shared" si="3"/>
        <v>EJECUTADO</v>
      </c>
    </row>
    <row r="58" ht="19.5" customHeight="1">
      <c r="A58" s="106">
        <f>UTAB!A63</f>
        <v>20</v>
      </c>
      <c r="B58" s="106" t="str">
        <f>UTAB!B63</f>
        <v>UT AMAZONAS BAGUA</v>
      </c>
      <c r="C58" s="107" t="str">
        <f>UTAB!C63</f>
        <v>42001203</v>
      </c>
      <c r="D58" s="106" t="str">
        <f>UTAB!D63</f>
        <v>GUEVARA GARCIA YULI ELIZABETH</v>
      </c>
      <c r="E58" s="109">
        <f>UTAB!E63</f>
        <v>44914</v>
      </c>
      <c r="F58" s="106" t="str">
        <f>UTAB!F63</f>
        <v>GESTOR LOCAL</v>
      </c>
      <c r="G58" s="109" t="str">
        <f>UTAB!G63</f>
        <v>2024-2025</v>
      </c>
      <c r="H58" s="109">
        <f>UTAB!H63</f>
        <v>45908</v>
      </c>
      <c r="I58" s="109">
        <f>UTAB!I63</f>
        <v>45914</v>
      </c>
      <c r="J58" s="37">
        <f t="shared" si="1"/>
        <v>7</v>
      </c>
      <c r="K58" s="34" t="str">
        <f t="shared" si="2"/>
        <v>domingo</v>
      </c>
      <c r="L58" s="135" t="str">
        <f t="shared" si="3"/>
        <v>EJECUTADO</v>
      </c>
    </row>
    <row r="59" ht="19.5" customHeight="1">
      <c r="A59" s="102">
        <f>UTAB!A64</f>
        <v>20</v>
      </c>
      <c r="B59" s="102" t="str">
        <f>UTAB!B64</f>
        <v>UT AMAZONAS BAGUA</v>
      </c>
      <c r="C59" s="103" t="str">
        <f>UTAB!C64</f>
        <v>42001203</v>
      </c>
      <c r="D59" s="102" t="str">
        <f>UTAB!D64</f>
        <v>GUEVARA GARCIA YULI ELIZABETH</v>
      </c>
      <c r="E59" s="90">
        <f>UTAB!E64</f>
        <v>44914</v>
      </c>
      <c r="F59" s="102" t="str">
        <f>UTAB!F64</f>
        <v>GESTOR LOCAL</v>
      </c>
      <c r="G59" s="90" t="str">
        <f>UTAB!G64</f>
        <v>2024-2025</v>
      </c>
      <c r="H59" s="90">
        <f>UTAB!H64</f>
        <v>46023</v>
      </c>
      <c r="I59" s="90">
        <f>UTAB!I64</f>
        <v>46030</v>
      </c>
      <c r="J59" s="43">
        <f t="shared" si="1"/>
        <v>8</v>
      </c>
      <c r="K59" s="36" t="str">
        <f t="shared" si="2"/>
        <v>jueves</v>
      </c>
      <c r="L59" s="136" t="str">
        <f t="shared" si="3"/>
        <v>EJECUTADO</v>
      </c>
    </row>
    <row r="60" ht="19.5" customHeight="1">
      <c r="A60" s="106">
        <f>UTAB!A65</f>
        <v>21</v>
      </c>
      <c r="B60" s="106" t="str">
        <f>UTAB!B65</f>
        <v>UT AMAZONAS BAGUA</v>
      </c>
      <c r="C60" s="107" t="str">
        <f>UTAB!C65</f>
        <v>45328152</v>
      </c>
      <c r="D60" s="106" t="str">
        <f>UTAB!D65</f>
        <v>GUEVARA GUEVARA FRANCO NAPOLEON</v>
      </c>
      <c r="E60" s="109">
        <f>UTAB!E65</f>
        <v>41821</v>
      </c>
      <c r="F60" s="106" t="str">
        <f>UTAB!F65</f>
        <v>GESTOR LOCAL</v>
      </c>
      <c r="G60" s="109" t="str">
        <f>UTAB!G65</f>
        <v>2024-2025</v>
      </c>
      <c r="H60" s="109">
        <f>UTAB!H65</f>
        <v>45936</v>
      </c>
      <c r="I60" s="109">
        <f>UTAB!I65</f>
        <v>45950</v>
      </c>
      <c r="J60" s="37">
        <f t="shared" si="1"/>
        <v>15</v>
      </c>
      <c r="K60" s="34" t="str">
        <f t="shared" si="2"/>
        <v>lunes</v>
      </c>
      <c r="L60" s="135" t="str">
        <f t="shared" si="3"/>
        <v>EJECUTADO</v>
      </c>
    </row>
    <row r="61" ht="19.5" customHeight="1">
      <c r="A61" s="102" t="str">
        <f t="shared" ref="A61:I61" si="4">#REF!</f>
        <v>#REF!</v>
      </c>
      <c r="B61" s="102" t="str">
        <f t="shared" si="4"/>
        <v>#REF!</v>
      </c>
      <c r="C61" s="102" t="str">
        <f t="shared" si="4"/>
        <v>#REF!</v>
      </c>
      <c r="D61" s="102" t="str">
        <f t="shared" si="4"/>
        <v>#REF!</v>
      </c>
      <c r="E61" s="102" t="str">
        <f t="shared" si="4"/>
        <v>#REF!</v>
      </c>
      <c r="F61" s="102" t="str">
        <f t="shared" si="4"/>
        <v>#REF!</v>
      </c>
      <c r="G61" s="102" t="str">
        <f t="shared" si="4"/>
        <v>#REF!</v>
      </c>
      <c r="H61" s="102" t="str">
        <f t="shared" si="4"/>
        <v>#REF!</v>
      </c>
      <c r="I61" s="102" t="str">
        <f t="shared" si="4"/>
        <v>#REF!</v>
      </c>
      <c r="J61" s="43" t="str">
        <f t="shared" si="1"/>
        <v>#REF!</v>
      </c>
      <c r="K61" s="36" t="str">
        <f t="shared" si="2"/>
        <v>#REF!</v>
      </c>
      <c r="L61" s="136" t="str">
        <f t="shared" si="3"/>
        <v>#REF!</v>
      </c>
    </row>
    <row r="62" ht="19.5" customHeight="1">
      <c r="A62" s="106">
        <f>UTAB!A68</f>
        <v>22</v>
      </c>
      <c r="B62" s="106" t="str">
        <f>UTAB!B68</f>
        <v>UT AMAZONAS BAGUA</v>
      </c>
      <c r="C62" s="107" t="str">
        <f>UTAB!C68</f>
        <v>46358139</v>
      </c>
      <c r="D62" s="106" t="str">
        <f>UTAB!D68</f>
        <v>HUAMAN SOROE MILAGROS</v>
      </c>
      <c r="E62" s="109">
        <f>UTAB!E68</f>
        <v>43313</v>
      </c>
      <c r="F62" s="106" t="str">
        <f>UTAB!F68</f>
        <v>GESTOR LOCAL</v>
      </c>
      <c r="G62" s="109" t="str">
        <f>UTAB!G68</f>
        <v>2024-2025</v>
      </c>
      <c r="H62" s="109">
        <f>UTAB!H68</f>
        <v>45733</v>
      </c>
      <c r="I62" s="109">
        <f>UTAB!I68</f>
        <v>45741</v>
      </c>
      <c r="J62" s="37">
        <f t="shared" si="1"/>
        <v>9</v>
      </c>
      <c r="K62" s="34" t="str">
        <f t="shared" si="2"/>
        <v>martes</v>
      </c>
      <c r="L62" s="135" t="str">
        <f t="shared" si="3"/>
        <v>EJECUTADO</v>
      </c>
    </row>
    <row r="63" ht="19.5" customHeight="1">
      <c r="A63" s="102">
        <f>UTAB!A69</f>
        <v>22</v>
      </c>
      <c r="B63" s="102" t="str">
        <f>UTAB!B69</f>
        <v>UT AMAZONAS BAGUA</v>
      </c>
      <c r="C63" s="103" t="str">
        <f>UTAB!C69</f>
        <v>46358139</v>
      </c>
      <c r="D63" s="102" t="str">
        <f>UTAB!D69</f>
        <v>HUAMAN SOROE MILAGROS</v>
      </c>
      <c r="E63" s="90">
        <f>UTAB!E69</f>
        <v>43313</v>
      </c>
      <c r="F63" s="102" t="str">
        <f>UTAB!F69</f>
        <v>GESTOR LOCAL</v>
      </c>
      <c r="G63" s="90" t="str">
        <f>UTAB!G69</f>
        <v>2024-2025</v>
      </c>
      <c r="H63" s="90">
        <f>UTAB!H69</f>
        <v>45873</v>
      </c>
      <c r="I63" s="90">
        <f>UTAB!I69</f>
        <v>45887</v>
      </c>
      <c r="J63" s="43">
        <f t="shared" si="1"/>
        <v>15</v>
      </c>
      <c r="K63" s="36" t="str">
        <f t="shared" si="2"/>
        <v>lunes</v>
      </c>
      <c r="L63" s="136" t="str">
        <f t="shared" si="3"/>
        <v>EJECUTADO</v>
      </c>
    </row>
    <row r="64" ht="19.5" customHeight="1">
      <c r="A64" s="106">
        <f>UTAB!A70</f>
        <v>22</v>
      </c>
      <c r="B64" s="106" t="str">
        <f>UTAB!B70</f>
        <v>UT AMAZONAS BAGUA</v>
      </c>
      <c r="C64" s="107" t="str">
        <f>UTAB!C70</f>
        <v>46358139</v>
      </c>
      <c r="D64" s="106" t="str">
        <f>UTAB!D70</f>
        <v>HUAMAN SOROE MILAGROS</v>
      </c>
      <c r="E64" s="109">
        <f>UTAB!E70</f>
        <v>43313</v>
      </c>
      <c r="F64" s="106" t="str">
        <f>UTAB!F70</f>
        <v>GESTOR LOCAL</v>
      </c>
      <c r="G64" s="109" t="str">
        <f>UTAB!G70</f>
        <v>2024-2025</v>
      </c>
      <c r="H64" s="109">
        <f>UTAB!H70</f>
        <v>45972</v>
      </c>
      <c r="I64" s="109">
        <f>UTAB!I70</f>
        <v>45977</v>
      </c>
      <c r="J64" s="37">
        <f t="shared" si="1"/>
        <v>6</v>
      </c>
      <c r="K64" s="34" t="str">
        <f t="shared" si="2"/>
        <v>domingo</v>
      </c>
      <c r="L64" s="135" t="str">
        <f t="shared" si="3"/>
        <v>EJECUTADO</v>
      </c>
    </row>
    <row r="65" ht="19.5" customHeight="1">
      <c r="A65" s="102">
        <f>UTAB!A71</f>
        <v>23</v>
      </c>
      <c r="B65" s="102" t="str">
        <f>UTAB!B71</f>
        <v>UT AMAZONAS BAGUA</v>
      </c>
      <c r="C65" s="103" t="str">
        <f>UTAB!C71</f>
        <v>46091093</v>
      </c>
      <c r="D65" s="102" t="str">
        <f>UTAB!D71</f>
        <v>JIMENEZ RODRIGUEZ OMAR ALEJANDRO</v>
      </c>
      <c r="E65" s="90">
        <f>UTAB!E71</f>
        <v>41913</v>
      </c>
      <c r="F65" s="102" t="str">
        <f>UTAB!F71</f>
        <v>GESTOR LOCAL</v>
      </c>
      <c r="G65" s="90" t="str">
        <f>UTAB!G71</f>
        <v>2024-2025</v>
      </c>
      <c r="H65" s="90">
        <f>UTAB!H71</f>
        <v>45957</v>
      </c>
      <c r="I65" s="90">
        <f>UTAB!I71</f>
        <v>45966</v>
      </c>
      <c r="J65" s="43">
        <f t="shared" si="1"/>
        <v>10</v>
      </c>
      <c r="K65" s="36" t="str">
        <f t="shared" si="2"/>
        <v>miércoles</v>
      </c>
      <c r="L65" s="136" t="str">
        <f t="shared" si="3"/>
        <v>EJECUTADO</v>
      </c>
    </row>
    <row r="66" ht="19.5" customHeight="1">
      <c r="A66" s="106">
        <f>UTAB!A72</f>
        <v>23</v>
      </c>
      <c r="B66" s="106" t="str">
        <f>UTAB!B72</f>
        <v>UT AMAZONAS BAGUA</v>
      </c>
      <c r="C66" s="107" t="str">
        <f>UTAB!C72</f>
        <v>46091093</v>
      </c>
      <c r="D66" s="106" t="str">
        <f>UTAB!D72</f>
        <v>JIMENEZ RODRIGUEZ OMAR ALEJANDRO</v>
      </c>
      <c r="E66" s="109">
        <f>UTAB!E72</f>
        <v>41913</v>
      </c>
      <c r="F66" s="106" t="str">
        <f>UTAB!F72</f>
        <v>GESTOR LOCAL</v>
      </c>
      <c r="G66" s="109" t="str">
        <f>UTAB!G72</f>
        <v>2024-2025</v>
      </c>
      <c r="H66" s="109">
        <f>UTAB!H72</f>
        <v>46014</v>
      </c>
      <c r="I66" s="109">
        <f>UTAB!I72</f>
        <v>46033</v>
      </c>
      <c r="J66" s="37">
        <f t="shared" si="1"/>
        <v>20</v>
      </c>
      <c r="K66" s="34" t="str">
        <f t="shared" si="2"/>
        <v>domingo</v>
      </c>
      <c r="L66" s="135" t="str">
        <f t="shared" si="3"/>
        <v>EJECUTADO</v>
      </c>
    </row>
    <row r="67" ht="19.5" customHeight="1">
      <c r="A67" s="102">
        <f>UTAB!A73</f>
        <v>24</v>
      </c>
      <c r="B67" s="102" t="str">
        <f>UTAB!B73</f>
        <v>UT AMAZONAS BAGUA</v>
      </c>
      <c r="C67" s="103" t="str">
        <f>UTAB!C73</f>
        <v>72097663</v>
      </c>
      <c r="D67" s="102" t="str">
        <f>UTAB!D73</f>
        <v>LAZO VALQUI ROSITA</v>
      </c>
      <c r="E67" s="90">
        <f>UTAB!E73</f>
        <v>44991</v>
      </c>
      <c r="F67" s="102" t="str">
        <f>UTAB!F73</f>
        <v>GESTOR LOCAL</v>
      </c>
      <c r="G67" s="90" t="str">
        <f>UTAB!G73</f>
        <v>2024-2025</v>
      </c>
      <c r="H67" s="90">
        <f>UTAB!H73</f>
        <v>45713</v>
      </c>
      <c r="I67" s="90">
        <f>UTAB!I73</f>
        <v>45719</v>
      </c>
      <c r="J67" s="43">
        <f t="shared" si="1"/>
        <v>7</v>
      </c>
      <c r="K67" s="36" t="str">
        <f t="shared" si="2"/>
        <v>lunes</v>
      </c>
      <c r="L67" s="136" t="str">
        <f t="shared" si="3"/>
        <v>EJECUTADO</v>
      </c>
    </row>
    <row r="68" ht="19.5" customHeight="1">
      <c r="A68" s="106">
        <f>UTAB!A74</f>
        <v>24</v>
      </c>
      <c r="B68" s="106" t="str">
        <f>UTAB!B74</f>
        <v>UT AMAZONAS BAGUA</v>
      </c>
      <c r="C68" s="107" t="str">
        <f>UTAB!C74</f>
        <v>72097663</v>
      </c>
      <c r="D68" s="106" t="str">
        <f>UTAB!D74</f>
        <v>LAZO VALQUI ROSITA</v>
      </c>
      <c r="E68" s="109">
        <f>UTAB!E74</f>
        <v>44991</v>
      </c>
      <c r="F68" s="106" t="str">
        <f>UTAB!F74</f>
        <v>GESTOR LOCAL</v>
      </c>
      <c r="G68" s="109" t="str">
        <f>UTAB!G74</f>
        <v>2024-2025</v>
      </c>
      <c r="H68" s="109">
        <f>UTAB!H74</f>
        <v>45749</v>
      </c>
      <c r="I68" s="109">
        <f>UTAB!I74</f>
        <v>45763</v>
      </c>
      <c r="J68" s="37">
        <f t="shared" si="1"/>
        <v>15</v>
      </c>
      <c r="K68" s="34" t="str">
        <f t="shared" si="2"/>
        <v>miércoles</v>
      </c>
      <c r="L68" s="135" t="str">
        <f t="shared" si="3"/>
        <v>EJECUTADO</v>
      </c>
    </row>
    <row r="69" ht="19.5" customHeight="1">
      <c r="A69" s="102">
        <f>UTAB!A75</f>
        <v>24</v>
      </c>
      <c r="B69" s="102" t="str">
        <f>UTAB!B75</f>
        <v>UT AMAZONAS BAGUA</v>
      </c>
      <c r="C69" s="103" t="str">
        <f>UTAB!C75</f>
        <v>72097663</v>
      </c>
      <c r="D69" s="102" t="str">
        <f>UTAB!D75</f>
        <v>LAZO VALQUI ROSITA</v>
      </c>
      <c r="E69" s="90">
        <f>UTAB!E75</f>
        <v>44991</v>
      </c>
      <c r="F69" s="102" t="str">
        <f>UTAB!F75</f>
        <v>GESTOR LOCAL</v>
      </c>
      <c r="G69" s="90" t="str">
        <f>UTAB!G75</f>
        <v>2024-2025</v>
      </c>
      <c r="H69" s="90">
        <f>UTAB!H75</f>
        <v>46062</v>
      </c>
      <c r="I69" s="90">
        <f>UTAB!I75</f>
        <v>46069</v>
      </c>
      <c r="J69" s="43">
        <f t="shared" si="1"/>
        <v>8</v>
      </c>
      <c r="K69" s="36" t="str">
        <f t="shared" si="2"/>
        <v>lunes</v>
      </c>
      <c r="L69" s="136" t="str">
        <f t="shared" si="3"/>
        <v>EJECUTADO</v>
      </c>
    </row>
    <row r="70" ht="19.5" customHeight="1">
      <c r="A70" s="106">
        <f>UTAB!A76</f>
        <v>25</v>
      </c>
      <c r="B70" s="106" t="str">
        <f>UTAB!B76</f>
        <v>UT AMAZONAS BAGUA</v>
      </c>
      <c r="C70" s="107" t="str">
        <f>UTAB!C76</f>
        <v>46402465</v>
      </c>
      <c r="D70" s="106" t="str">
        <f>UTAB!D76</f>
        <v>LEON CAMPOS WILLAN DAVID</v>
      </c>
      <c r="E70" s="109">
        <f>UTAB!E76</f>
        <v>44200</v>
      </c>
      <c r="F70" s="106" t="str">
        <f>UTAB!F76</f>
        <v>GESTOR LOCAL</v>
      </c>
      <c r="G70" s="109" t="str">
        <f>UTAB!G76</f>
        <v>2024-2025</v>
      </c>
      <c r="H70" s="109">
        <f>UTAB!H76</f>
        <v>45663</v>
      </c>
      <c r="I70" s="109">
        <f>UTAB!I76</f>
        <v>45677</v>
      </c>
      <c r="J70" s="37">
        <f t="shared" si="1"/>
        <v>15</v>
      </c>
      <c r="K70" s="34" t="str">
        <f t="shared" si="2"/>
        <v>lunes</v>
      </c>
      <c r="L70" s="135" t="str">
        <f t="shared" si="3"/>
        <v>EJECUTADO</v>
      </c>
    </row>
    <row r="71" ht="19.5" customHeight="1">
      <c r="A71" s="102">
        <f>UTAB!A77</f>
        <v>25</v>
      </c>
      <c r="B71" s="102" t="str">
        <f>UTAB!B77</f>
        <v>UT AMAZONAS BAGUA</v>
      </c>
      <c r="C71" s="103" t="str">
        <f>UTAB!C77</f>
        <v>46402465</v>
      </c>
      <c r="D71" s="102" t="str">
        <f>UTAB!D77</f>
        <v>LEON CAMPOS WILLAN DAVID</v>
      </c>
      <c r="E71" s="90">
        <f>UTAB!E77</f>
        <v>44200</v>
      </c>
      <c r="F71" s="102" t="str">
        <f>UTAB!F77</f>
        <v>GESTOR LOCAL</v>
      </c>
      <c r="G71" s="90" t="str">
        <f>UTAB!G77</f>
        <v>2024-2025</v>
      </c>
      <c r="H71" s="90">
        <f>UTAB!H77</f>
        <v>45908</v>
      </c>
      <c r="I71" s="90">
        <f>UTAB!I77</f>
        <v>45922</v>
      </c>
      <c r="J71" s="43">
        <f t="shared" si="1"/>
        <v>15</v>
      </c>
      <c r="K71" s="36" t="str">
        <f t="shared" si="2"/>
        <v>lunes</v>
      </c>
      <c r="L71" s="136" t="str">
        <f t="shared" si="3"/>
        <v>EJECUTADO</v>
      </c>
    </row>
    <row r="72" ht="19.5" customHeight="1">
      <c r="A72" s="106">
        <f>UTAB!A78</f>
        <v>26</v>
      </c>
      <c r="B72" s="106" t="str">
        <f>UTAB!B78</f>
        <v>UT AMAZONAS BAGUA</v>
      </c>
      <c r="C72" s="107" t="str">
        <f>UTAB!C78</f>
        <v>33586223</v>
      </c>
      <c r="D72" s="106" t="str">
        <f>UTAB!D78</f>
        <v>LOZANO HERNANDEZ MARINA</v>
      </c>
      <c r="E72" s="109">
        <f>UTAB!E78</f>
        <v>41229</v>
      </c>
      <c r="F72" s="106" t="str">
        <f>UTAB!F78</f>
        <v>COORDINADOR TÉCNICO ZONAL</v>
      </c>
      <c r="G72" s="109" t="str">
        <f>UTAB!G78</f>
        <v>2024-2025</v>
      </c>
      <c r="H72" s="109">
        <f>UTAB!H78</f>
        <v>45665</v>
      </c>
      <c r="I72" s="109">
        <f>UTAB!I78</f>
        <v>45671</v>
      </c>
      <c r="J72" s="37">
        <f t="shared" si="1"/>
        <v>7</v>
      </c>
      <c r="K72" s="34" t="str">
        <f t="shared" si="2"/>
        <v>martes</v>
      </c>
      <c r="L72" s="135" t="str">
        <f t="shared" si="3"/>
        <v>EJECUTADO</v>
      </c>
    </row>
    <row r="73" ht="19.5" customHeight="1">
      <c r="A73" s="102">
        <f>UTAB!A79</f>
        <v>26</v>
      </c>
      <c r="B73" s="102" t="str">
        <f>UTAB!B79</f>
        <v>UT AMAZONAS BAGUA</v>
      </c>
      <c r="C73" s="103" t="str">
        <f>UTAB!C79</f>
        <v>33586223</v>
      </c>
      <c r="D73" s="102" t="str">
        <f>UTAB!D79</f>
        <v>LOZANO HERNANDEZ MARINA</v>
      </c>
      <c r="E73" s="90">
        <f>UTAB!E79</f>
        <v>41229</v>
      </c>
      <c r="F73" s="102" t="str">
        <f>UTAB!F79</f>
        <v>COORDINADOR TÉCNICO ZONAL</v>
      </c>
      <c r="G73" s="90" t="str">
        <f>UTAB!G79</f>
        <v>2024-2025</v>
      </c>
      <c r="H73" s="90">
        <f>UTAB!H79</f>
        <v>45798</v>
      </c>
      <c r="I73" s="90">
        <f>UTAB!I79</f>
        <v>45804</v>
      </c>
      <c r="J73" s="43">
        <f t="shared" si="1"/>
        <v>7</v>
      </c>
      <c r="K73" s="36" t="str">
        <f t="shared" si="2"/>
        <v>martes</v>
      </c>
      <c r="L73" s="136" t="str">
        <f t="shared" si="3"/>
        <v>EJECUTADO</v>
      </c>
    </row>
    <row r="74" ht="19.5" customHeight="1">
      <c r="A74" s="106">
        <f>UTAB!A80</f>
        <v>26</v>
      </c>
      <c r="B74" s="106" t="str">
        <f>UTAB!B80</f>
        <v>UT AMAZONAS BAGUA</v>
      </c>
      <c r="C74" s="107" t="str">
        <f>UTAB!C80</f>
        <v>33586223</v>
      </c>
      <c r="D74" s="106" t="str">
        <f>UTAB!D80</f>
        <v>LOZANO HERNANDEZ MARINA</v>
      </c>
      <c r="E74" s="109">
        <f>UTAB!E80</f>
        <v>41229</v>
      </c>
      <c r="F74" s="106" t="str">
        <f>UTAB!F80</f>
        <v>COORDINADOR TÉCNICO ZONAL</v>
      </c>
      <c r="G74" s="109" t="str">
        <f>UTAB!G80</f>
        <v>2024-2025</v>
      </c>
      <c r="H74" s="109">
        <f>UTAB!H80</f>
        <v>45931</v>
      </c>
      <c r="I74" s="109">
        <f>UTAB!I80</f>
        <v>45946</v>
      </c>
      <c r="J74" s="37">
        <f t="shared" si="1"/>
        <v>16</v>
      </c>
      <c r="K74" s="34" t="str">
        <f t="shared" si="2"/>
        <v>jueves</v>
      </c>
      <c r="L74" s="135" t="str">
        <f t="shared" si="3"/>
        <v>EJECUTADO</v>
      </c>
    </row>
    <row r="75" ht="19.5" customHeight="1">
      <c r="A75" s="102">
        <f>UTAB!A81</f>
        <v>27</v>
      </c>
      <c r="B75" s="102" t="str">
        <f>UTAB!B81</f>
        <v>UT AMAZONAS BAGUA</v>
      </c>
      <c r="C75" s="103" t="str">
        <f>UTAB!C81</f>
        <v>42246417</v>
      </c>
      <c r="D75" s="102" t="str">
        <f>UTAB!D81</f>
        <v>MERA TORRES ALELI</v>
      </c>
      <c r="E75" s="90">
        <f>UTAB!E81</f>
        <v>41229</v>
      </c>
      <c r="F75" s="102" t="str">
        <f>UTAB!F81</f>
        <v>GESTOR LOCAL</v>
      </c>
      <c r="G75" s="90" t="str">
        <f>UTAB!G81</f>
        <v>2024-2025</v>
      </c>
      <c r="H75" s="90">
        <f>UTAB!H81</f>
        <v>45747</v>
      </c>
      <c r="I75" s="90">
        <f>UTAB!I81</f>
        <v>45756</v>
      </c>
      <c r="J75" s="43">
        <f t="shared" si="1"/>
        <v>10</v>
      </c>
      <c r="K75" s="36" t="str">
        <f t="shared" si="2"/>
        <v>miércoles</v>
      </c>
      <c r="L75" s="136" t="str">
        <f t="shared" si="3"/>
        <v>EJECUTADO</v>
      </c>
    </row>
    <row r="76" ht="19.5" customHeight="1">
      <c r="A76" s="106">
        <f>UTAB!A82</f>
        <v>27</v>
      </c>
      <c r="B76" s="106" t="str">
        <f>UTAB!B82</f>
        <v>UT AMAZONAS BAGUA</v>
      </c>
      <c r="C76" s="107" t="str">
        <f>UTAB!C82</f>
        <v>42246417</v>
      </c>
      <c r="D76" s="106" t="str">
        <f>UTAB!D82</f>
        <v>MERA TORRES ALELI</v>
      </c>
      <c r="E76" s="109">
        <f>UTAB!E82</f>
        <v>41229</v>
      </c>
      <c r="F76" s="106" t="str">
        <f>UTAB!F82</f>
        <v>GESTOR LOCAL</v>
      </c>
      <c r="G76" s="109" t="str">
        <f>UTAB!G82</f>
        <v>2024-2025</v>
      </c>
      <c r="H76" s="109">
        <f>UTAB!H82</f>
        <v>46028</v>
      </c>
      <c r="I76" s="109">
        <f>UTAB!I82</f>
        <v>46047</v>
      </c>
      <c r="J76" s="37">
        <f t="shared" si="1"/>
        <v>20</v>
      </c>
      <c r="K76" s="34" t="str">
        <f t="shared" si="2"/>
        <v>domingo</v>
      </c>
      <c r="L76" s="135" t="str">
        <f t="shared" si="3"/>
        <v>EJECUTADO</v>
      </c>
    </row>
    <row r="77" ht="19.5" customHeight="1">
      <c r="A77" s="102">
        <f>UTAB!A83</f>
        <v>28</v>
      </c>
      <c r="B77" s="102" t="str">
        <f>UTAB!B83</f>
        <v>UT AMAZONAS BAGUA</v>
      </c>
      <c r="C77" s="103" t="str">
        <f>UTAB!C83</f>
        <v>41395226</v>
      </c>
      <c r="D77" s="102" t="str">
        <f>UTAB!D83</f>
        <v>MONSALVE SANDOVAL MARIA LASTENIA</v>
      </c>
      <c r="E77" s="90">
        <f>UTAB!E83</f>
        <v>41913</v>
      </c>
      <c r="F77" s="102" t="str">
        <f>UTAB!F83</f>
        <v>GESTOR LOCAL</v>
      </c>
      <c r="G77" s="90" t="str">
        <f>UTAB!G83</f>
        <v>2024-2025</v>
      </c>
      <c r="H77" s="90">
        <f>UTAB!H83</f>
        <v>46083</v>
      </c>
      <c r="I77" s="90">
        <f>UTAB!I83</f>
        <v>46111</v>
      </c>
      <c r="J77" s="43">
        <f t="shared" si="1"/>
        <v>29</v>
      </c>
      <c r="K77" s="36" t="str">
        <f t="shared" si="2"/>
        <v>lunes</v>
      </c>
      <c r="L77" s="136" t="str">
        <f t="shared" si="3"/>
        <v>EJECUTADO</v>
      </c>
    </row>
    <row r="78" ht="19.5" customHeight="1">
      <c r="A78" s="106">
        <f>UTAB!A84</f>
        <v>29</v>
      </c>
      <c r="B78" s="106" t="str">
        <f>UTAB!B84</f>
        <v>UT AMAZONAS BAGUA</v>
      </c>
      <c r="C78" s="107" t="str">
        <f>UTAB!C84</f>
        <v>48410041</v>
      </c>
      <c r="D78" s="106" t="str">
        <f>UTAB!D84</f>
        <v>MONTEZA ROJAS ITAMAR</v>
      </c>
      <c r="E78" s="109">
        <f>UTAB!E84</f>
        <v>44481</v>
      </c>
      <c r="F78" s="106" t="str">
        <f>UTAB!F84</f>
        <v>GESTOR LOCAL</v>
      </c>
      <c r="G78" s="109" t="str">
        <f>UTAB!G84</f>
        <v>2024-2025</v>
      </c>
      <c r="H78" s="109">
        <f>UTAB!H84</f>
        <v>45705</v>
      </c>
      <c r="I78" s="109">
        <f>UTAB!I84</f>
        <v>45712</v>
      </c>
      <c r="J78" s="37">
        <v>7.0</v>
      </c>
      <c r="K78" s="34" t="str">
        <f t="shared" si="2"/>
        <v>lunes</v>
      </c>
      <c r="L78" s="135" t="str">
        <f t="shared" si="3"/>
        <v>EJECUTADO</v>
      </c>
    </row>
    <row r="79" ht="19.5" customHeight="1">
      <c r="A79" s="102">
        <f>UTAB!A85</f>
        <v>29</v>
      </c>
      <c r="B79" s="102" t="str">
        <f>UTAB!B85</f>
        <v>UT AMAZONAS BAGUA</v>
      </c>
      <c r="C79" s="103" t="str">
        <f>UTAB!C85</f>
        <v>48410041</v>
      </c>
      <c r="D79" s="102" t="str">
        <f>UTAB!D85</f>
        <v>MONTEZA ROJAS ITAMAR</v>
      </c>
      <c r="E79" s="90">
        <f>UTAB!E85</f>
        <v>44481</v>
      </c>
      <c r="F79" s="102" t="str">
        <f>UTAB!F85</f>
        <v>GESTOR LOCAL</v>
      </c>
      <c r="G79" s="90" t="str">
        <f>UTAB!G85</f>
        <v>2024-2025</v>
      </c>
      <c r="H79" s="90">
        <f>UTAB!H85</f>
        <v>45792</v>
      </c>
      <c r="I79" s="90">
        <f>UTAB!I85</f>
        <v>45798</v>
      </c>
      <c r="J79" s="43">
        <f t="shared" ref="J79:J113" si="5">+I79-H79+1</f>
        <v>7</v>
      </c>
      <c r="K79" s="36" t="str">
        <f t="shared" si="2"/>
        <v>miércoles</v>
      </c>
      <c r="L79" s="136" t="str">
        <f t="shared" si="3"/>
        <v>EJECUTADO</v>
      </c>
    </row>
    <row r="80" ht="19.5" customHeight="1">
      <c r="A80" s="106">
        <f>UTAB!A86</f>
        <v>29</v>
      </c>
      <c r="B80" s="106" t="str">
        <f>UTAB!B86</f>
        <v>UT AMAZONAS BAGUA</v>
      </c>
      <c r="C80" s="107" t="str">
        <f>UTAB!C86</f>
        <v>48410041</v>
      </c>
      <c r="D80" s="106" t="str">
        <f>UTAB!D86</f>
        <v>MONTEZA ROJAS ITAMAR</v>
      </c>
      <c r="E80" s="109">
        <f>UTAB!E86</f>
        <v>44481</v>
      </c>
      <c r="F80" s="106" t="str">
        <f>UTAB!F86</f>
        <v>GESTOR LOCAL</v>
      </c>
      <c r="G80" s="109" t="str">
        <f>UTAB!G86</f>
        <v>2024-2025</v>
      </c>
      <c r="H80" s="109">
        <f>UTAB!H86</f>
        <v>45876</v>
      </c>
      <c r="I80" s="109">
        <f>UTAB!I86</f>
        <v>45890</v>
      </c>
      <c r="J80" s="37">
        <f t="shared" si="5"/>
        <v>15</v>
      </c>
      <c r="K80" s="34" t="str">
        <f t="shared" si="2"/>
        <v>jueves</v>
      </c>
      <c r="L80" s="135" t="str">
        <f t="shared" si="3"/>
        <v>EJECUTADO</v>
      </c>
    </row>
    <row r="81" ht="19.5" customHeight="1">
      <c r="A81" s="102">
        <f>UTAB!A87</f>
        <v>30</v>
      </c>
      <c r="B81" s="102" t="str">
        <f>UTAB!B87</f>
        <v>UT AMAZONAS BAGUA</v>
      </c>
      <c r="C81" s="103" t="str">
        <f>UTAB!C87</f>
        <v>43457207</v>
      </c>
      <c r="D81" s="102" t="str">
        <f>UTAB!D87</f>
        <v>NAVARRO DIAZ LUIS ALBERTO</v>
      </c>
      <c r="E81" s="90">
        <f>UTAB!E87</f>
        <v>44200</v>
      </c>
      <c r="F81" s="102" t="str">
        <f>UTAB!F87</f>
        <v>ADMINISTRADOR</v>
      </c>
      <c r="G81" s="102" t="str">
        <f>UTAB!G87</f>
        <v>2024-2025</v>
      </c>
      <c r="H81" s="90">
        <f>UTAB!H87</f>
        <v>45859</v>
      </c>
      <c r="I81" s="90">
        <f>UTAB!I87</f>
        <v>45873</v>
      </c>
      <c r="J81" s="43">
        <f t="shared" si="5"/>
        <v>15</v>
      </c>
      <c r="K81" s="36" t="str">
        <f t="shared" si="2"/>
        <v>lunes</v>
      </c>
      <c r="L81" s="136" t="str">
        <f t="shared" si="3"/>
        <v>EJECUTADO</v>
      </c>
    </row>
    <row r="82" ht="19.5" customHeight="1">
      <c r="A82" s="106">
        <f>UTAB!A88</f>
        <v>30</v>
      </c>
      <c r="B82" s="106" t="str">
        <f>UTAB!B88</f>
        <v>UT AMAZONAS BAGUA</v>
      </c>
      <c r="C82" s="107" t="str">
        <f>UTAB!C88</f>
        <v>43457208</v>
      </c>
      <c r="D82" s="106" t="str">
        <f>UTAB!D88</f>
        <v>NAVARRO DIAZ LUIS ALBERTO</v>
      </c>
      <c r="E82" s="109">
        <f>UTAB!E88</f>
        <v>44200</v>
      </c>
      <c r="F82" s="106" t="str">
        <f>UTAB!F88</f>
        <v>ADMINISTRADOR</v>
      </c>
      <c r="G82" s="106" t="str">
        <f>UTAB!G88</f>
        <v>2024-2025</v>
      </c>
      <c r="H82" s="109">
        <f>UTAB!H88</f>
        <v>46013</v>
      </c>
      <c r="I82" s="109">
        <f>UTAB!I88</f>
        <v>46027</v>
      </c>
      <c r="J82" s="37">
        <f t="shared" si="5"/>
        <v>15</v>
      </c>
      <c r="K82" s="34" t="str">
        <f t="shared" si="2"/>
        <v>lunes</v>
      </c>
      <c r="L82" s="135" t="str">
        <f t="shared" si="3"/>
        <v>EJECUTADO</v>
      </c>
    </row>
    <row r="83" ht="19.5" customHeight="1">
      <c r="A83" s="102">
        <f>UTAB!A89</f>
        <v>31</v>
      </c>
      <c r="B83" s="102" t="str">
        <f>UTAB!B89</f>
        <v>UT AMAZONAS BAGUA</v>
      </c>
      <c r="C83" s="103" t="str">
        <f>UTAB!C89</f>
        <v>73141657</v>
      </c>
      <c r="D83" s="102" t="str">
        <f>UTAB!D89</f>
        <v>PALACIOS TORRES EVELYN LIZETH</v>
      </c>
      <c r="E83" s="90">
        <f>UTAB!E89</f>
        <v>45057</v>
      </c>
      <c r="F83" s="102" t="str">
        <f>UTAB!F89</f>
        <v>ASISTENTE DE ARCHIVO</v>
      </c>
      <c r="G83" s="90" t="str">
        <f>UTAB!G89</f>
        <v>2024-2025</v>
      </c>
      <c r="H83" s="90">
        <f>UTAB!H89</f>
        <v>45712</v>
      </c>
      <c r="I83" s="90">
        <f>UTAB!I89</f>
        <v>45718</v>
      </c>
      <c r="J83" s="43">
        <f t="shared" si="5"/>
        <v>7</v>
      </c>
      <c r="K83" s="36" t="str">
        <f t="shared" si="2"/>
        <v>domingo</v>
      </c>
      <c r="L83" s="136" t="str">
        <f t="shared" si="3"/>
        <v>EJECUTADO</v>
      </c>
    </row>
    <row r="84" ht="19.5" customHeight="1">
      <c r="A84" s="106">
        <f>UTAB!A90</f>
        <v>31</v>
      </c>
      <c r="B84" s="106" t="str">
        <f>UTAB!B90</f>
        <v>UT AMAZONAS BAGUA</v>
      </c>
      <c r="C84" s="107" t="str">
        <f>UTAB!C90</f>
        <v>73141657</v>
      </c>
      <c r="D84" s="106" t="str">
        <f>UTAB!D90</f>
        <v>PALACIOS TORRES EVELYN LIZETH</v>
      </c>
      <c r="E84" s="109">
        <f>UTAB!E90</f>
        <v>45057</v>
      </c>
      <c r="F84" s="106" t="str">
        <f>UTAB!F90</f>
        <v>ASISTENTE DE ARCHIVO</v>
      </c>
      <c r="G84" s="109" t="str">
        <f>UTAB!G90</f>
        <v>2024-2025</v>
      </c>
      <c r="H84" s="109">
        <f>UTAB!H90</f>
        <v>45853</v>
      </c>
      <c r="I84" s="109">
        <f>UTAB!I90</f>
        <v>45860</v>
      </c>
      <c r="J84" s="37">
        <f t="shared" si="5"/>
        <v>8</v>
      </c>
      <c r="K84" s="34" t="str">
        <f t="shared" si="2"/>
        <v>martes</v>
      </c>
      <c r="L84" s="135" t="str">
        <f t="shared" si="3"/>
        <v>EJECUTADO</v>
      </c>
    </row>
    <row r="85" ht="19.5" customHeight="1">
      <c r="A85" s="102">
        <f>UTAB!A91</f>
        <v>31</v>
      </c>
      <c r="B85" s="102" t="str">
        <f>UTAB!B91</f>
        <v>UT AMAZONAS BAGUA</v>
      </c>
      <c r="C85" s="103" t="str">
        <f>UTAB!C91</f>
        <v>73141657</v>
      </c>
      <c r="D85" s="102" t="str">
        <f>UTAB!D91</f>
        <v>PALACIOS TORRES EVELYN LIZETH</v>
      </c>
      <c r="E85" s="90">
        <f>UTAB!E91</f>
        <v>45057</v>
      </c>
      <c r="F85" s="102" t="str">
        <f>UTAB!F91</f>
        <v>ASISTENTE DE ARCHIVO</v>
      </c>
      <c r="G85" s="90" t="str">
        <f>UTAB!G91</f>
        <v>2024-2025</v>
      </c>
      <c r="H85" s="90">
        <f>UTAB!H91</f>
        <v>45891</v>
      </c>
      <c r="I85" s="90">
        <f>UTAB!I91</f>
        <v>45897</v>
      </c>
      <c r="J85" s="43">
        <f t="shared" si="5"/>
        <v>7</v>
      </c>
      <c r="K85" s="36" t="str">
        <f t="shared" si="2"/>
        <v>jueves</v>
      </c>
      <c r="L85" s="136" t="str">
        <f t="shared" si="3"/>
        <v>EJECUTADO</v>
      </c>
    </row>
    <row r="86" ht="19.5" customHeight="1">
      <c r="A86" s="106">
        <f>UTAB!A92</f>
        <v>31</v>
      </c>
      <c r="B86" s="106" t="str">
        <f>UTAB!B92</f>
        <v>UT AMAZONAS BAGUA</v>
      </c>
      <c r="C86" s="107" t="str">
        <f>UTAB!C92</f>
        <v>73141657</v>
      </c>
      <c r="D86" s="106" t="str">
        <f>UTAB!D92</f>
        <v>PALACIOS TORRES EVELYN LIZETH</v>
      </c>
      <c r="E86" s="109">
        <f>UTAB!E92</f>
        <v>45057</v>
      </c>
      <c r="F86" s="106" t="str">
        <f>UTAB!F92</f>
        <v>ASISTENTE DE ARCHIVO</v>
      </c>
      <c r="G86" s="109" t="str">
        <f>UTAB!G92</f>
        <v>2024-2025</v>
      </c>
      <c r="H86" s="109">
        <f>UTAB!H92</f>
        <v>45985</v>
      </c>
      <c r="I86" s="109">
        <f>UTAB!I92</f>
        <v>45992</v>
      </c>
      <c r="J86" s="37">
        <f t="shared" si="5"/>
        <v>8</v>
      </c>
      <c r="K86" s="34" t="str">
        <f t="shared" si="2"/>
        <v>lunes</v>
      </c>
      <c r="L86" s="135" t="str">
        <f t="shared" si="3"/>
        <v>EJECUTADO</v>
      </c>
    </row>
    <row r="87" ht="19.5" customHeight="1">
      <c r="A87" s="102">
        <f>UTAB!A93</f>
        <v>32</v>
      </c>
      <c r="B87" s="102" t="str">
        <f>UTAB!B93</f>
        <v>UT AMAZONAS BAGUA</v>
      </c>
      <c r="C87" s="103" t="str">
        <f>UTAB!C93</f>
        <v>45460382</v>
      </c>
      <c r="D87" s="102" t="str">
        <f>UTAB!D93</f>
        <v>RODRIGUEZ COLLANTES MILTON CESAR</v>
      </c>
      <c r="E87" s="90">
        <f>UTAB!E93</f>
        <v>43901</v>
      </c>
      <c r="F87" s="102" t="str">
        <f>UTAB!F93</f>
        <v>GESTOR LOCAL</v>
      </c>
      <c r="G87" s="90" t="str">
        <f>UTAB!G93</f>
        <v>2024-2025</v>
      </c>
      <c r="H87" s="90">
        <f>UTAB!H93</f>
        <v>45901</v>
      </c>
      <c r="I87" s="90">
        <f>UTAB!I93</f>
        <v>45915</v>
      </c>
      <c r="J87" s="43">
        <f t="shared" si="5"/>
        <v>15</v>
      </c>
      <c r="K87" s="36" t="str">
        <f t="shared" si="2"/>
        <v>lunes</v>
      </c>
      <c r="L87" s="136" t="str">
        <f t="shared" si="3"/>
        <v>EJECUTADO</v>
      </c>
    </row>
    <row r="88" ht="19.5" customHeight="1">
      <c r="A88" s="106">
        <f>UTAB!A94</f>
        <v>32</v>
      </c>
      <c r="B88" s="106" t="str">
        <f>UTAB!B94</f>
        <v>UT AMAZONAS BAGUA</v>
      </c>
      <c r="C88" s="107" t="str">
        <f>UTAB!C94</f>
        <v>45460382</v>
      </c>
      <c r="D88" s="106" t="str">
        <f>UTAB!D94</f>
        <v>RODRIGUEZ COLLANTES MILTON CESAR</v>
      </c>
      <c r="E88" s="109">
        <f>UTAB!E94</f>
        <v>43901</v>
      </c>
      <c r="F88" s="106" t="str">
        <f>UTAB!F94</f>
        <v>GESTOR LOCAL</v>
      </c>
      <c r="G88" s="109" t="str">
        <f>UTAB!G94</f>
        <v>2024-2025</v>
      </c>
      <c r="H88" s="109">
        <f>UTAB!H94</f>
        <v>46014</v>
      </c>
      <c r="I88" s="109">
        <f>UTAB!I94</f>
        <v>46028</v>
      </c>
      <c r="J88" s="37">
        <f t="shared" si="5"/>
        <v>15</v>
      </c>
      <c r="K88" s="34" t="str">
        <f t="shared" si="2"/>
        <v>martes</v>
      </c>
      <c r="L88" s="135" t="str">
        <f t="shared" si="3"/>
        <v>EJECUTADO</v>
      </c>
    </row>
    <row r="89" ht="19.5" customHeight="1">
      <c r="A89" s="102">
        <f>UTAB!A95</f>
        <v>33</v>
      </c>
      <c r="B89" s="102" t="str">
        <f>UTAB!B95</f>
        <v>UT AMAZONAS BAGUA</v>
      </c>
      <c r="C89" s="103" t="str">
        <f>UTAB!C95</f>
        <v>45961246</v>
      </c>
      <c r="D89" s="102" t="str">
        <f>UTAB!D95</f>
        <v>ROJAS SOPLIN EULER</v>
      </c>
      <c r="E89" s="90">
        <f>UTAB!E95</f>
        <v>42522</v>
      </c>
      <c r="F89" s="102" t="str">
        <f>UTAB!F95</f>
        <v>GESTOR LOCAL</v>
      </c>
      <c r="G89" s="90" t="str">
        <f>UTAB!G95</f>
        <v>2024-2025</v>
      </c>
      <c r="H89" s="90">
        <f>UTAB!H95</f>
        <v>45887</v>
      </c>
      <c r="I89" s="90">
        <f>UTAB!I95</f>
        <v>45900</v>
      </c>
      <c r="J89" s="43">
        <f t="shared" si="5"/>
        <v>14</v>
      </c>
      <c r="K89" s="36" t="str">
        <f t="shared" si="2"/>
        <v>domingo</v>
      </c>
      <c r="L89" s="136" t="str">
        <f t="shared" si="3"/>
        <v>EJECUTADO</v>
      </c>
    </row>
    <row r="90" ht="19.5" customHeight="1">
      <c r="A90" s="106">
        <f>UTAB!A96</f>
        <v>33</v>
      </c>
      <c r="B90" s="106" t="str">
        <f>UTAB!B96</f>
        <v>UT AMAZONAS BAGUA</v>
      </c>
      <c r="C90" s="107" t="str">
        <f>UTAB!C96</f>
        <v>45961246</v>
      </c>
      <c r="D90" s="106" t="str">
        <f>UTAB!D96</f>
        <v>ROJAS SOPLIN EULER</v>
      </c>
      <c r="E90" s="109">
        <f>UTAB!E96</f>
        <v>42522</v>
      </c>
      <c r="F90" s="106" t="str">
        <f>UTAB!F96</f>
        <v>GESTOR LOCAL</v>
      </c>
      <c r="G90" s="109" t="str">
        <f>UTAB!G96</f>
        <v>2024-2025</v>
      </c>
      <c r="H90" s="109">
        <f>UTAB!H96</f>
        <v>46013</v>
      </c>
      <c r="I90" s="109">
        <f>UTAB!I96</f>
        <v>46028</v>
      </c>
      <c r="J90" s="37">
        <f t="shared" si="5"/>
        <v>16</v>
      </c>
      <c r="K90" s="34" t="str">
        <f t="shared" si="2"/>
        <v>martes</v>
      </c>
      <c r="L90" s="135" t="str">
        <f t="shared" si="3"/>
        <v>EJECUTADO</v>
      </c>
    </row>
    <row r="91" ht="19.5" customHeight="1">
      <c r="A91" s="102">
        <f>UTAB!A97</f>
        <v>34</v>
      </c>
      <c r="B91" s="102" t="str">
        <f>UTAB!B97</f>
        <v>UT AMAZONAS BAGUA</v>
      </c>
      <c r="C91" s="103" t="str">
        <f>UTAB!C97</f>
        <v>33432747</v>
      </c>
      <c r="D91" s="102" t="str">
        <f>UTAB!D97</f>
        <v>SALAZAR SANTOS ANGEL GUSTAVO</v>
      </c>
      <c r="E91" s="90">
        <f>UTAB!E97</f>
        <v>41276</v>
      </c>
      <c r="F91" s="102" t="str">
        <f>UTAB!F97</f>
        <v>CHOFER PARA  SEDE REGIONAL</v>
      </c>
      <c r="G91" s="90" t="str">
        <f>UTAB!G97</f>
        <v>2024-2025</v>
      </c>
      <c r="H91" s="90">
        <f>UTAB!H97</f>
        <v>45852</v>
      </c>
      <c r="I91" s="90">
        <f>UTAB!I97</f>
        <v>45862</v>
      </c>
      <c r="J91" s="43">
        <f t="shared" si="5"/>
        <v>11</v>
      </c>
      <c r="K91" s="36" t="str">
        <f t="shared" si="2"/>
        <v>jueves</v>
      </c>
      <c r="L91" s="136" t="str">
        <f t="shared" si="3"/>
        <v>EJECUTADO</v>
      </c>
    </row>
    <row r="92" ht="19.5" customHeight="1">
      <c r="A92" s="106">
        <f>UTAB!A98</f>
        <v>34</v>
      </c>
      <c r="B92" s="106" t="str">
        <f>UTAB!B98</f>
        <v>UT AMAZONAS BAGUA</v>
      </c>
      <c r="C92" s="107" t="str">
        <f>UTAB!C98</f>
        <v>33432747</v>
      </c>
      <c r="D92" s="106" t="str">
        <f>UTAB!D98</f>
        <v>SALAZAR SANTOS ANGEL GUSTAVO</v>
      </c>
      <c r="E92" s="109">
        <f>UTAB!E98</f>
        <v>41276</v>
      </c>
      <c r="F92" s="106" t="str">
        <f>UTAB!F98</f>
        <v>CHOFER PARA  SEDE REGIONAL</v>
      </c>
      <c r="G92" s="109" t="str">
        <f>UTAB!G98</f>
        <v>2024-2025</v>
      </c>
      <c r="H92" s="109">
        <f>UTAB!H98</f>
        <v>45894</v>
      </c>
      <c r="I92" s="109">
        <f>UTAB!I98</f>
        <v>45896</v>
      </c>
      <c r="J92" s="37">
        <f t="shared" si="5"/>
        <v>3</v>
      </c>
      <c r="K92" s="34" t="str">
        <f t="shared" si="2"/>
        <v>miércoles</v>
      </c>
      <c r="L92" s="135" t="str">
        <f t="shared" si="3"/>
        <v>EJECUTADO</v>
      </c>
    </row>
    <row r="93" ht="19.5" customHeight="1">
      <c r="A93" s="102">
        <f>UTAB!A99</f>
        <v>34</v>
      </c>
      <c r="B93" s="102" t="str">
        <f>UTAB!B99</f>
        <v>UT AMAZONAS BAGUA</v>
      </c>
      <c r="C93" s="103" t="str">
        <f>UTAB!C99</f>
        <v>33432747</v>
      </c>
      <c r="D93" s="102" t="str">
        <f>UTAB!D99</f>
        <v>SALAZAR SANTOS ANGEL GUSTAVO</v>
      </c>
      <c r="E93" s="90">
        <f>UTAB!E99</f>
        <v>41276</v>
      </c>
      <c r="F93" s="102" t="str">
        <f>UTAB!F99</f>
        <v>CHOFER PARA  SEDE REGIONAL</v>
      </c>
      <c r="G93" s="90" t="str">
        <f>UTAB!G99</f>
        <v>2024-2025</v>
      </c>
      <c r="H93" s="90">
        <f>UTAB!H99</f>
        <v>46006</v>
      </c>
      <c r="I93" s="90">
        <f>UTAB!I99</f>
        <v>46021</v>
      </c>
      <c r="J93" s="43">
        <f t="shared" si="5"/>
        <v>16</v>
      </c>
      <c r="K93" s="36" t="str">
        <f t="shared" si="2"/>
        <v>martes</v>
      </c>
      <c r="L93" s="136" t="str">
        <f t="shared" si="3"/>
        <v>EJECUTADO</v>
      </c>
    </row>
    <row r="94" ht="19.5" customHeight="1">
      <c r="A94" s="106">
        <f>UTAB!A100</f>
        <v>35</v>
      </c>
      <c r="B94" s="106" t="str">
        <f>UTAB!B100</f>
        <v>UT AMAZONAS BAGUA</v>
      </c>
      <c r="C94" s="107" t="str">
        <f>UTAB!C100</f>
        <v>26620699</v>
      </c>
      <c r="D94" s="106" t="str">
        <f>UTAB!D100</f>
        <v>SANCHEZ SANCHEZ JOSE LUIS</v>
      </c>
      <c r="E94" s="109">
        <f>UTAB!E100</f>
        <v>41229</v>
      </c>
      <c r="F94" s="106" t="str">
        <f>UTAB!F100</f>
        <v>COORDINADOR TÉCNICO ZONAL</v>
      </c>
      <c r="G94" s="109" t="str">
        <f>UTAB!G100</f>
        <v>2024-2025</v>
      </c>
      <c r="H94" s="109">
        <f>UTAB!H100</f>
        <v>45663</v>
      </c>
      <c r="I94" s="109">
        <f>UTAB!I100</f>
        <v>45692</v>
      </c>
      <c r="J94" s="37">
        <f t="shared" si="5"/>
        <v>30</v>
      </c>
      <c r="K94" s="34" t="str">
        <f t="shared" si="2"/>
        <v>martes</v>
      </c>
      <c r="L94" s="135" t="str">
        <f t="shared" si="3"/>
        <v>EJECUTADO</v>
      </c>
    </row>
    <row r="95" ht="19.5" customHeight="1">
      <c r="A95" s="102">
        <f>UTAB!A101</f>
        <v>36</v>
      </c>
      <c r="B95" s="102" t="str">
        <f>UTAB!B101</f>
        <v>UT AMAZONAS BAGUA</v>
      </c>
      <c r="C95" s="103" t="str">
        <f>UTAB!C101</f>
        <v>77531759</v>
      </c>
      <c r="D95" s="102" t="str">
        <f>UTAB!D101</f>
        <v>SANTOS SOLANO ROXANA</v>
      </c>
      <c r="E95" s="90">
        <f>UTAB!E101</f>
        <v>45118</v>
      </c>
      <c r="F95" s="102" t="str">
        <f>UTAB!F101</f>
        <v>GESTOR LOCAL</v>
      </c>
      <c r="G95" s="90" t="str">
        <f>UTAB!G101</f>
        <v>2024-2025</v>
      </c>
      <c r="H95" s="90">
        <f>UTAB!H101</f>
        <v>45719</v>
      </c>
      <c r="I95" s="90">
        <f>UTAB!I101</f>
        <v>45733</v>
      </c>
      <c r="J95" s="43">
        <f t="shared" si="5"/>
        <v>15</v>
      </c>
      <c r="K95" s="36" t="str">
        <f t="shared" si="2"/>
        <v>lunes</v>
      </c>
      <c r="L95" s="136" t="str">
        <f t="shared" si="3"/>
        <v>EJECUTADO</v>
      </c>
    </row>
    <row r="96" ht="19.5" customHeight="1">
      <c r="A96" s="106">
        <f>UTAB!A102</f>
        <v>36</v>
      </c>
      <c r="B96" s="106" t="str">
        <f>UTAB!B102</f>
        <v>UT AMAZONAS BAGUA</v>
      </c>
      <c r="C96" s="107" t="str">
        <f>UTAB!C102</f>
        <v>77531759</v>
      </c>
      <c r="D96" s="106" t="str">
        <f>UTAB!D102</f>
        <v>SANTOS SOLANO ROXANA</v>
      </c>
      <c r="E96" s="109">
        <f>UTAB!E102</f>
        <v>45118</v>
      </c>
      <c r="F96" s="106" t="str">
        <f>UTAB!F102</f>
        <v>GESTOR LOCAL</v>
      </c>
      <c r="G96" s="109" t="str">
        <f>UTAB!G102</f>
        <v>2024-2026</v>
      </c>
      <c r="H96" s="109">
        <f>UTAB!H102</f>
        <v>46001</v>
      </c>
      <c r="I96" s="109">
        <f>UTAB!I102</f>
        <v>46015</v>
      </c>
      <c r="J96" s="37">
        <f t="shared" si="5"/>
        <v>15</v>
      </c>
      <c r="K96" s="34" t="str">
        <f t="shared" si="2"/>
        <v>miércoles</v>
      </c>
      <c r="L96" s="135" t="str">
        <f t="shared" si="3"/>
        <v>EJECUTADO</v>
      </c>
    </row>
    <row r="97" ht="19.5" customHeight="1">
      <c r="A97" s="102">
        <f>UTAB!A103</f>
        <v>37</v>
      </c>
      <c r="B97" s="102" t="str">
        <f>UTAB!B103</f>
        <v>UT AMAZONAS BAGUA</v>
      </c>
      <c r="C97" s="103" t="str">
        <f>UTAB!C103</f>
        <v>33589658</v>
      </c>
      <c r="D97" s="102" t="str">
        <f>UTAB!D103</f>
        <v>SILVA BRAVO ROSARIO</v>
      </c>
      <c r="E97" s="90">
        <f>UTAB!E103</f>
        <v>41306</v>
      </c>
      <c r="F97" s="102" t="str">
        <f>UTAB!F103</f>
        <v>GESTOR LOCAL</v>
      </c>
      <c r="G97" s="90" t="str">
        <f>UTAB!G103</f>
        <v>2024-2025</v>
      </c>
      <c r="H97" s="90">
        <f>UTAB!H103</f>
        <v>45705</v>
      </c>
      <c r="I97" s="90">
        <f>UTAB!I103</f>
        <v>45719</v>
      </c>
      <c r="J97" s="43">
        <f t="shared" si="5"/>
        <v>15</v>
      </c>
      <c r="K97" s="36" t="str">
        <f t="shared" si="2"/>
        <v>lunes</v>
      </c>
      <c r="L97" s="136" t="str">
        <f t="shared" si="3"/>
        <v>EJECUTADO</v>
      </c>
    </row>
    <row r="98" ht="19.5" customHeight="1">
      <c r="A98" s="106">
        <f>UTAB!A104</f>
        <v>38</v>
      </c>
      <c r="B98" s="106" t="str">
        <f>UTAB!B104</f>
        <v>UT AMAZONAS BAGUA</v>
      </c>
      <c r="C98" s="107" t="str">
        <f>UTAB!C104</f>
        <v>72498313</v>
      </c>
      <c r="D98" s="106" t="str">
        <f>UTAB!D104</f>
        <v>TERRONES CHAVEZ JORGE ISAIAS</v>
      </c>
      <c r="E98" s="109">
        <f>UTAB!E104</f>
        <v>45155</v>
      </c>
      <c r="F98" s="106" t="str">
        <f>UTAB!F104</f>
        <v>GESTOR LOCAL</v>
      </c>
      <c r="G98" s="109" t="str">
        <f>UTAB!G104</f>
        <v>2024-2025</v>
      </c>
      <c r="H98" s="109">
        <f>UTAB!H104</f>
        <v>45901</v>
      </c>
      <c r="I98" s="109">
        <f>UTAB!I104</f>
        <v>45915</v>
      </c>
      <c r="J98" s="37">
        <f t="shared" si="5"/>
        <v>15</v>
      </c>
      <c r="K98" s="34" t="str">
        <f t="shared" si="2"/>
        <v>lunes</v>
      </c>
      <c r="L98" s="135" t="str">
        <f t="shared" si="3"/>
        <v>EJECUTADO</v>
      </c>
    </row>
    <row r="99" ht="19.5" customHeight="1">
      <c r="A99" s="102">
        <f>UTAB!A105</f>
        <v>38</v>
      </c>
      <c r="B99" s="102" t="str">
        <f>UTAB!B105</f>
        <v>UT AMAZONAS BAGUA</v>
      </c>
      <c r="C99" s="103" t="str">
        <f>UTAB!C105</f>
        <v>72498314</v>
      </c>
      <c r="D99" s="102" t="str">
        <f>UTAB!D105</f>
        <v>TERRONES CHAVEZ JORGE ISAIAS</v>
      </c>
      <c r="E99" s="90">
        <f>UTAB!E105</f>
        <v>45155</v>
      </c>
      <c r="F99" s="102" t="str">
        <f>UTAB!F105</f>
        <v>GESTOR LOCAL</v>
      </c>
      <c r="G99" s="90" t="str">
        <f>UTAB!G105</f>
        <v>2024-2025</v>
      </c>
      <c r="H99" s="90">
        <f>UTAB!H105</f>
        <v>46062</v>
      </c>
      <c r="I99" s="90">
        <f>UTAB!I105</f>
        <v>46076</v>
      </c>
      <c r="J99" s="43">
        <f t="shared" si="5"/>
        <v>15</v>
      </c>
      <c r="K99" s="36" t="str">
        <f t="shared" si="2"/>
        <v>lunes</v>
      </c>
      <c r="L99" s="136" t="str">
        <f t="shared" si="3"/>
        <v>EJECUTADO</v>
      </c>
    </row>
    <row r="100" ht="19.5" customHeight="1">
      <c r="A100" s="106">
        <f>UTAB!A106</f>
        <v>39</v>
      </c>
      <c r="B100" s="106" t="str">
        <f>UTAB!B106</f>
        <v>UT AMAZONAS BAGUA</v>
      </c>
      <c r="C100" s="107" t="str">
        <f>UTAB!C106</f>
        <v>33431092</v>
      </c>
      <c r="D100" s="106" t="str">
        <f>UTAB!D106</f>
        <v>TUESTA SERVAN HAYCELA MIRIAM</v>
      </c>
      <c r="E100" s="109">
        <f>UTAB!E106</f>
        <v>41122</v>
      </c>
      <c r="F100" s="106" t="str">
        <f>UTAB!F106</f>
        <v>GESTOR LOCAL</v>
      </c>
      <c r="G100" s="109" t="str">
        <f>UTAB!G106</f>
        <v>2024-2025</v>
      </c>
      <c r="H100" s="109">
        <f>UTAB!H106</f>
        <v>45873</v>
      </c>
      <c r="I100" s="109">
        <f>UTAB!I106</f>
        <v>45879</v>
      </c>
      <c r="J100" s="37">
        <f t="shared" si="5"/>
        <v>7</v>
      </c>
      <c r="K100" s="34" t="str">
        <f t="shared" si="2"/>
        <v>domingo</v>
      </c>
      <c r="L100" s="135" t="str">
        <f t="shared" si="3"/>
        <v>EJECUTADO</v>
      </c>
    </row>
    <row r="101" ht="19.5" customHeight="1">
      <c r="A101" s="102">
        <f>UTAB!A107</f>
        <v>39</v>
      </c>
      <c r="B101" s="102" t="str">
        <f>UTAB!B107</f>
        <v>UT AMAZONAS BAGUA</v>
      </c>
      <c r="C101" s="103" t="str">
        <f>UTAB!C107</f>
        <v>33431092</v>
      </c>
      <c r="D101" s="102" t="str">
        <f>UTAB!D107</f>
        <v>TUESTA SERVAN HAYCELA MIRIAM</v>
      </c>
      <c r="E101" s="90">
        <f>UTAB!E107</f>
        <v>41122</v>
      </c>
      <c r="F101" s="102" t="str">
        <f>UTAB!F107</f>
        <v>GESTOR LOCAL</v>
      </c>
      <c r="G101" s="90" t="str">
        <f>UTAB!G107</f>
        <v>2024-2025</v>
      </c>
      <c r="H101" s="90">
        <f>UTAB!H107</f>
        <v>45939</v>
      </c>
      <c r="I101" s="90">
        <f>UTAB!I107</f>
        <v>45945</v>
      </c>
      <c r="J101" s="43">
        <f t="shared" si="5"/>
        <v>7</v>
      </c>
      <c r="K101" s="36" t="str">
        <f t="shared" si="2"/>
        <v>miércoles</v>
      </c>
      <c r="L101" s="136" t="str">
        <f t="shared" si="3"/>
        <v>EJECUTADO</v>
      </c>
    </row>
    <row r="102" ht="19.5" customHeight="1">
      <c r="A102" s="106">
        <f>UTAB!A108</f>
        <v>39</v>
      </c>
      <c r="B102" s="106" t="str">
        <f>UTAB!B108</f>
        <v>UT AMAZONAS BAGUA</v>
      </c>
      <c r="C102" s="107" t="str">
        <f>UTAB!C108</f>
        <v>33431092</v>
      </c>
      <c r="D102" s="106" t="str">
        <f>UTAB!D108</f>
        <v>TUESTA SERVAN HAYCELA MIRIAM</v>
      </c>
      <c r="E102" s="109">
        <f>UTAB!E108</f>
        <v>41122</v>
      </c>
      <c r="F102" s="106" t="str">
        <f>UTAB!F108</f>
        <v>GESTOR LOCAL</v>
      </c>
      <c r="G102" s="109" t="str">
        <f>UTAB!G108</f>
        <v>2024-2025</v>
      </c>
      <c r="H102" s="109">
        <f>UTAB!H108</f>
        <v>46027</v>
      </c>
      <c r="I102" s="109">
        <f>UTAB!I108</f>
        <v>46042</v>
      </c>
      <c r="J102" s="37">
        <f t="shared" si="5"/>
        <v>16</v>
      </c>
      <c r="K102" s="34" t="str">
        <f t="shared" si="2"/>
        <v>martes</v>
      </c>
      <c r="L102" s="135" t="str">
        <f t="shared" si="3"/>
        <v>EJECUTADO</v>
      </c>
    </row>
    <row r="103" ht="19.5" customHeight="1">
      <c r="A103" s="102">
        <f>UTAB!A109</f>
        <v>40</v>
      </c>
      <c r="B103" s="102" t="str">
        <f>UTAB!B109</f>
        <v>UT AMAZONAS BAGUA</v>
      </c>
      <c r="C103" s="103" t="str">
        <f>UTAB!C109</f>
        <v>16461336</v>
      </c>
      <c r="D103" s="102" t="str">
        <f>UTAB!D109</f>
        <v>VALENCIA ALCANTARA FRANKLIN EDGAR</v>
      </c>
      <c r="E103" s="90">
        <f>UTAB!E109</f>
        <v>43374</v>
      </c>
      <c r="F103" s="102" t="str">
        <f>UTAB!F109</f>
        <v>APOYO EN GESTIÓN ADMINISTRATIVA</v>
      </c>
      <c r="G103" s="90" t="str">
        <f>UTAB!G109</f>
        <v>2024-2025</v>
      </c>
      <c r="H103" s="90">
        <f>UTAB!H109</f>
        <v>45873</v>
      </c>
      <c r="I103" s="90">
        <f>UTAB!I109</f>
        <v>45887</v>
      </c>
      <c r="J103" s="43">
        <f t="shared" si="5"/>
        <v>15</v>
      </c>
      <c r="K103" s="36" t="str">
        <f t="shared" si="2"/>
        <v>lunes</v>
      </c>
      <c r="L103" s="136" t="str">
        <f t="shared" si="3"/>
        <v>EJECUTADO</v>
      </c>
    </row>
    <row r="104" ht="19.5" customHeight="1">
      <c r="A104" s="106">
        <f>UTAB!A111</f>
        <v>40</v>
      </c>
      <c r="B104" s="106" t="str">
        <f>UTAB!B111</f>
        <v>UT AMAZONAS BAGUA</v>
      </c>
      <c r="C104" s="107" t="str">
        <f>UTAB!C111</f>
        <v>16461337</v>
      </c>
      <c r="D104" s="106" t="str">
        <f>UTAB!D111</f>
        <v>VALENCIA ALCANTARA FRANKLIN EDGAR</v>
      </c>
      <c r="E104" s="109">
        <f>UTAB!E111</f>
        <v>43374</v>
      </c>
      <c r="F104" s="106" t="str">
        <f>UTAB!F111</f>
        <v>APOYO EN GESTIÓN ADMINISTRATIVA</v>
      </c>
      <c r="G104" s="109" t="str">
        <f>UTAB!G111</f>
        <v>2024-2025</v>
      </c>
      <c r="H104" s="109">
        <f>UTAB!H111</f>
        <v>45978</v>
      </c>
      <c r="I104" s="109">
        <f>UTAB!I111</f>
        <v>45984</v>
      </c>
      <c r="J104" s="37">
        <f t="shared" si="5"/>
        <v>7</v>
      </c>
      <c r="K104" s="34" t="str">
        <f t="shared" si="2"/>
        <v>domingo</v>
      </c>
      <c r="L104" s="135" t="str">
        <f t="shared" si="3"/>
        <v>EJECUTADO</v>
      </c>
    </row>
    <row r="105" ht="19.5" customHeight="1">
      <c r="A105" s="102">
        <f>UTAB!A114</f>
        <v>41</v>
      </c>
      <c r="B105" s="102" t="str">
        <f>UTAB!B114</f>
        <v>UT AMAZONAS BAGUA</v>
      </c>
      <c r="C105" s="103" t="str">
        <f>UTAB!C114</f>
        <v>44613215</v>
      </c>
      <c r="D105" s="102" t="str">
        <f>UTAB!D114</f>
        <v>VASQUEZ PAISIG EDWIN RAMIRO</v>
      </c>
      <c r="E105" s="90">
        <f>UTAB!E114</f>
        <v>42027</v>
      </c>
      <c r="F105" s="102" t="str">
        <f>UTAB!F114</f>
        <v>GESTOR LOCAL</v>
      </c>
      <c r="G105" s="90" t="str">
        <f>UTAB!G114</f>
        <v>2024-2025</v>
      </c>
      <c r="H105" s="90">
        <f>UTAB!H114</f>
        <v>45719</v>
      </c>
      <c r="I105" s="90">
        <f>UTAB!I114</f>
        <v>45733</v>
      </c>
      <c r="J105" s="43">
        <f t="shared" si="5"/>
        <v>15</v>
      </c>
      <c r="K105" s="36" t="str">
        <f t="shared" si="2"/>
        <v>lunes</v>
      </c>
      <c r="L105" s="136" t="str">
        <f t="shared" si="3"/>
        <v>EJECUTADO</v>
      </c>
    </row>
    <row r="106" ht="16.5" customHeight="1">
      <c r="A106" s="106">
        <f>UTAB!A115</f>
        <v>41</v>
      </c>
      <c r="B106" s="106" t="str">
        <f>UTAB!B115</f>
        <v>UT AMAZONAS BAGUA</v>
      </c>
      <c r="C106" s="107" t="str">
        <f>UTAB!C115</f>
        <v>44613215</v>
      </c>
      <c r="D106" s="106" t="str">
        <f>UTAB!D115</f>
        <v>VASQUEZ PAISIG EDWIN RAMIRO</v>
      </c>
      <c r="E106" s="109">
        <f>UTAB!E115</f>
        <v>42027</v>
      </c>
      <c r="F106" s="106" t="str">
        <f>UTAB!F115</f>
        <v>GESTOR LOCAL</v>
      </c>
      <c r="G106" s="109" t="str">
        <f>UTAB!G115</f>
        <v>2024-2025</v>
      </c>
      <c r="H106" s="109">
        <f>UTAB!H115</f>
        <v>45775</v>
      </c>
      <c r="I106" s="109">
        <f>UTAB!I115</f>
        <v>45789</v>
      </c>
      <c r="J106" s="37">
        <f t="shared" si="5"/>
        <v>15</v>
      </c>
      <c r="K106" s="34" t="str">
        <f t="shared" si="2"/>
        <v>lunes</v>
      </c>
      <c r="L106" s="135" t="str">
        <f t="shared" si="3"/>
        <v>EJECUTADO</v>
      </c>
    </row>
    <row r="107" ht="16.5" customHeight="1">
      <c r="A107" s="102">
        <f>UTAB!A116</f>
        <v>42</v>
      </c>
      <c r="B107" s="102" t="str">
        <f>UTAB!B116</f>
        <v>UT AMAZONAS BAGUA</v>
      </c>
      <c r="C107" s="103" t="str">
        <f>UTAB!C116</f>
        <v>41650274</v>
      </c>
      <c r="D107" s="102" t="str">
        <f>UTAB!D116</f>
        <v>VILLALOBOS BELLODAS CARLOS EDISON</v>
      </c>
      <c r="E107" s="90">
        <f>UTAB!E116</f>
        <v>42326</v>
      </c>
      <c r="F107" s="102" t="str">
        <f>UTAB!F116</f>
        <v>COORDINADOR TÉCNICO TERRITORIAL</v>
      </c>
      <c r="G107" s="90" t="str">
        <f>UTAB!G116</f>
        <v>2024-2025</v>
      </c>
      <c r="H107" s="90">
        <f>UTAB!H116</f>
        <v>45666</v>
      </c>
      <c r="I107" s="90">
        <f>UTAB!I116</f>
        <v>45684</v>
      </c>
      <c r="J107" s="43">
        <f t="shared" si="5"/>
        <v>19</v>
      </c>
      <c r="K107" s="36" t="str">
        <f t="shared" si="2"/>
        <v>lunes</v>
      </c>
      <c r="L107" s="136" t="str">
        <f t="shared" si="3"/>
        <v>EJECUTADO</v>
      </c>
    </row>
    <row r="108" ht="16.5" customHeight="1">
      <c r="A108" s="106">
        <f>UTAB!A117</f>
        <v>42</v>
      </c>
      <c r="B108" s="106" t="str">
        <f>UTAB!B117</f>
        <v>UT AMAZONAS BAGUA</v>
      </c>
      <c r="C108" s="107" t="str">
        <f>UTAB!C117</f>
        <v>41650274</v>
      </c>
      <c r="D108" s="106" t="str">
        <f>UTAB!D117</f>
        <v>VILLALOBOS BELLODAS CARLOS EDISON</v>
      </c>
      <c r="E108" s="109">
        <f>UTAB!E117</f>
        <v>42326</v>
      </c>
      <c r="F108" s="106" t="str">
        <f>UTAB!F117</f>
        <v>COORDINADOR TÉCNICO TERRITORIAL</v>
      </c>
      <c r="G108" s="109" t="str">
        <f>UTAB!G117</f>
        <v>2024-2025</v>
      </c>
      <c r="H108" s="109">
        <f>UTAB!H117</f>
        <v>45796</v>
      </c>
      <c r="I108" s="109">
        <f>UTAB!I117</f>
        <v>45806</v>
      </c>
      <c r="J108" s="37">
        <f t="shared" si="5"/>
        <v>11</v>
      </c>
      <c r="K108" s="34" t="str">
        <f t="shared" si="2"/>
        <v>jueves</v>
      </c>
      <c r="L108" s="135" t="str">
        <f t="shared" si="3"/>
        <v>EJECUTADO</v>
      </c>
    </row>
    <row r="109" ht="16.5" customHeight="1">
      <c r="A109" s="102">
        <f>UTAB!A118</f>
        <v>43</v>
      </c>
      <c r="B109" s="102" t="str">
        <f>UTAB!B118</f>
        <v>UT AMAZONAS BAGUA</v>
      </c>
      <c r="C109" s="103" t="str">
        <f>UTAB!C118</f>
        <v>42014736</v>
      </c>
      <c r="D109" s="102" t="str">
        <f>UTAB!D118</f>
        <v>ZAMORA LOJA JUAN ALBERTO</v>
      </c>
      <c r="E109" s="90">
        <f>UTAB!E118</f>
        <v>41883</v>
      </c>
      <c r="F109" s="102" t="str">
        <f>UTAB!F118</f>
        <v>COORDINADOR TÉCNICO ZONAL</v>
      </c>
      <c r="G109" s="90" t="str">
        <f>UTAB!G118</f>
        <v>2024-2025</v>
      </c>
      <c r="H109" s="140">
        <f>UTAB!H118</f>
        <v>45966</v>
      </c>
      <c r="I109" s="90">
        <f>UTAB!I118</f>
        <v>45972</v>
      </c>
      <c r="J109" s="43">
        <f t="shared" si="5"/>
        <v>7</v>
      </c>
      <c r="K109" s="36" t="str">
        <f t="shared" si="2"/>
        <v>martes</v>
      </c>
      <c r="L109" s="136" t="str">
        <f t="shared" si="3"/>
        <v>EJECUTADO</v>
      </c>
    </row>
    <row r="110" ht="16.5" customHeight="1">
      <c r="A110" s="106">
        <f>UTAB!A119</f>
        <v>43</v>
      </c>
      <c r="B110" s="106" t="str">
        <f>UTAB!B119</f>
        <v>UT AMAZONAS BAGUA</v>
      </c>
      <c r="C110" s="107" t="str">
        <f>UTAB!C119</f>
        <v>42014736</v>
      </c>
      <c r="D110" s="106" t="str">
        <f>UTAB!D119</f>
        <v>ZAMORA LOJA JUAN ALBERTO</v>
      </c>
      <c r="E110" s="109">
        <f>UTAB!E119</f>
        <v>41883</v>
      </c>
      <c r="F110" s="106" t="str">
        <f>UTAB!F119</f>
        <v>COORDINADOR TÉCNICO ZONAL</v>
      </c>
      <c r="G110" s="109" t="str">
        <f>UTAB!G119</f>
        <v>2024-2025</v>
      </c>
      <c r="H110" s="109">
        <f>UTAB!H119</f>
        <v>46069</v>
      </c>
      <c r="I110" s="109">
        <f>UTAB!I119</f>
        <v>46084</v>
      </c>
      <c r="J110" s="37">
        <f t="shared" si="5"/>
        <v>16</v>
      </c>
      <c r="K110" s="34" t="str">
        <f t="shared" si="2"/>
        <v>martes</v>
      </c>
      <c r="L110" s="135" t="str">
        <f t="shared" si="3"/>
        <v>EJECUTADO</v>
      </c>
    </row>
    <row r="111" ht="16.5" customHeight="1">
      <c r="A111" s="102">
        <f>UTAB!A120</f>
        <v>44</v>
      </c>
      <c r="B111" s="102" t="str">
        <f>UTAB!B120</f>
        <v>UT AMAZONAS BAGUA</v>
      </c>
      <c r="C111" s="103" t="str">
        <f>UTAB!C120</f>
        <v>46721282</v>
      </c>
      <c r="D111" s="102" t="str">
        <f>UTAB!D120</f>
        <v>ZAPATA DIAZ MANUEL FRANCISCO</v>
      </c>
      <c r="E111" s="90">
        <f>UTAB!E120</f>
        <v>44608</v>
      </c>
      <c r="F111" s="102" t="str">
        <f>UTAB!F120</f>
        <v>GESTOR LOCAL</v>
      </c>
      <c r="G111" s="90" t="str">
        <f>UTAB!G120</f>
        <v>2024-2025</v>
      </c>
      <c r="H111" s="90">
        <f>UTAB!H120</f>
        <v>45958</v>
      </c>
      <c r="I111" s="90">
        <f>UTAB!I120</f>
        <v>45972</v>
      </c>
      <c r="J111" s="43">
        <f t="shared" si="5"/>
        <v>15</v>
      </c>
      <c r="K111" s="36" t="str">
        <f t="shared" si="2"/>
        <v>martes</v>
      </c>
      <c r="L111" s="136" t="str">
        <f t="shared" si="3"/>
        <v>EJECUTADO</v>
      </c>
    </row>
    <row r="112" ht="16.5" customHeight="1">
      <c r="A112" s="106">
        <f>UTAB!A121</f>
        <v>44</v>
      </c>
      <c r="B112" s="106" t="str">
        <f>UTAB!B121</f>
        <v>UT AMAZONAS BAGUA</v>
      </c>
      <c r="C112" s="107" t="str">
        <f>UTAB!C121</f>
        <v>46721282</v>
      </c>
      <c r="D112" s="106" t="str">
        <f>UTAB!D121</f>
        <v>ZAPATA DIAZ MANUEL FRANCISCO</v>
      </c>
      <c r="E112" s="109">
        <f>UTAB!E121</f>
        <v>44608</v>
      </c>
      <c r="F112" s="106" t="str">
        <f>UTAB!F121</f>
        <v>GESTOR LOCAL</v>
      </c>
      <c r="G112" s="109" t="str">
        <f>UTAB!G121</f>
        <v>2024-2025</v>
      </c>
      <c r="H112" s="109">
        <f>UTAB!H121</f>
        <v>46014</v>
      </c>
      <c r="I112" s="109">
        <f>UTAB!I121</f>
        <v>46028</v>
      </c>
      <c r="J112" s="37">
        <f t="shared" si="5"/>
        <v>15</v>
      </c>
      <c r="K112" s="34" t="str">
        <f t="shared" si="2"/>
        <v>martes</v>
      </c>
      <c r="L112" s="135" t="str">
        <f t="shared" si="3"/>
        <v>EJECUTADO</v>
      </c>
    </row>
    <row r="113" ht="16.5" customHeight="1">
      <c r="A113" s="102">
        <f>UTAB!A122</f>
        <v>45</v>
      </c>
      <c r="B113" s="102" t="str">
        <f>UTAB!B122</f>
        <v>UT AMAZONAS BAGUA</v>
      </c>
      <c r="C113" s="103" t="str">
        <f>UTAB!C122</f>
        <v>41366303</v>
      </c>
      <c r="D113" s="102" t="str">
        <f>UTAB!D122</f>
        <v>ZELADA TORRES RIVELINO</v>
      </c>
      <c r="E113" s="90">
        <f>UTAB!E122</f>
        <v>41229</v>
      </c>
      <c r="F113" s="102" t="str">
        <f>UTAB!F122</f>
        <v>GESTOR LOCAL</v>
      </c>
      <c r="G113" s="90" t="str">
        <f>UTAB!G122</f>
        <v>2024-2025</v>
      </c>
      <c r="H113" s="90">
        <f>UTAB!H122</f>
        <v>46006</v>
      </c>
      <c r="I113" s="90">
        <f>UTAB!I122</f>
        <v>46035</v>
      </c>
      <c r="J113" s="43">
        <f t="shared" si="5"/>
        <v>30</v>
      </c>
      <c r="K113" s="36" t="str">
        <f t="shared" si="2"/>
        <v>martes</v>
      </c>
      <c r="L113" s="136" t="str">
        <f t="shared" si="3"/>
        <v>EJECUTADO</v>
      </c>
    </row>
    <row r="114" ht="16.5" customHeight="1">
      <c r="A114" s="141"/>
      <c r="B114" s="141"/>
      <c r="C114" s="141"/>
      <c r="D114" s="141"/>
      <c r="E114" s="141"/>
      <c r="F114" s="141"/>
      <c r="G114" s="141"/>
      <c r="H114" s="142"/>
      <c r="I114" s="141"/>
      <c r="J114" s="143"/>
      <c r="K114" s="144"/>
      <c r="L114" s="145"/>
    </row>
    <row r="115" ht="16.5" customHeight="1">
      <c r="A115" s="146"/>
      <c r="B115" s="146"/>
      <c r="C115" s="146"/>
      <c r="D115" s="146"/>
      <c r="E115" s="146"/>
      <c r="F115" s="146"/>
      <c r="G115" s="146"/>
      <c r="H115" s="146"/>
      <c r="I115" s="146"/>
      <c r="J115" s="147"/>
      <c r="K115" s="148"/>
      <c r="L115" s="149"/>
    </row>
    <row r="116" ht="16.5" customHeight="1">
      <c r="A116" s="141"/>
      <c r="B116" s="141"/>
      <c r="C116" s="141"/>
      <c r="D116" s="141"/>
      <c r="E116" s="141"/>
      <c r="F116" s="141"/>
      <c r="G116" s="141"/>
      <c r="H116" s="141"/>
      <c r="I116" s="141"/>
      <c r="J116" s="143"/>
      <c r="K116" s="144"/>
      <c r="L116" s="145"/>
    </row>
  </sheetData>
  <autoFilter ref="$A$7:$L$113"/>
  <mergeCells count="3">
    <mergeCell ref="B2:I2"/>
    <mergeCell ref="A3:K3"/>
    <mergeCell ref="A5:K5"/>
  </mergeCells>
  <conditionalFormatting sqref="J8:J116 H105:I110">
    <cfRule type="cellIs" dxfId="1" priority="1" operator="lessThan">
      <formula>7</formula>
    </cfRule>
  </conditionalFormatting>
  <conditionalFormatting sqref="L5:L7 K6:K116 L11:L116">
    <cfRule type="cellIs" dxfId="1" priority="2" operator="equal">
      <formula>"sábado"</formula>
    </cfRule>
  </conditionalFormatting>
  <conditionalFormatting sqref="L5:L7 K6:K116 L11:L116">
    <cfRule type="cellIs" dxfId="1" priority="3" operator="equal">
      <formula>"viernes"</formula>
    </cfRule>
  </conditionalFormatting>
  <conditionalFormatting sqref="A8:L116">
    <cfRule type="expression" dxfId="2" priority="4">
      <formula>$L8="EJECUTADO"</formula>
    </cfRule>
  </conditionalFormatting>
  <printOptions/>
  <pageMargins bottom="0.7480314960629921" footer="0.0" header="0.0" left="0.7086614173228347" right="0.7086614173228347" top="0.7480314960629921"/>
  <pageSetup fitToHeight="0" paperSize="9" orientation="landscape"/>
  <drawing r:id="rId1"/>
</worksheet>
</file>